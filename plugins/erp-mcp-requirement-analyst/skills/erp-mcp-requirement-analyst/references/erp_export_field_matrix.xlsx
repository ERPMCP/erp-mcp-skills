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3bc9c3405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d1be2fa6b96436b"/>
    <x:sheet xmlns:r="http://schemas.openxmlformats.org/officeDocument/2006/relationships" name="全字段对照" sheetId="2" r:id="R556ba08514644d23"/>
    <x:sheet xmlns:r="http://schemas.openxmlformats.org/officeDocument/2006/relationships" name="表格总览" sheetId="3" r:id="R46c7b1143ff84387"/>
    <x:sheet xmlns:r="http://schemas.openxmlformats.org/officeDocument/2006/relationships" name="MCP不支持字段" sheetId="4" r:id="R3a617ac666404756"/>
    <x:sheet xmlns:r="http://schemas.openxmlformats.org/officeDocument/2006/relationships" name="部分支持与风险" sheetId="5" r:id="R451f87592e9f4ac5"/>
    <x:sheet xmlns:r="http://schemas.openxmlformats.org/officeDocument/2006/relationships" name="需求解决方案" sheetId="6" r:id="Race93c6357a7459f"/>
    <x:sheet xmlns:r="http://schemas.openxmlformats.org/officeDocument/2006/relationships" name="关联键与口径" sheetId="7" r:id="Rac2e768675e94c60"/>
    <x:sheet xmlns:r="http://schemas.openxmlformats.org/officeDocument/2006/relationships" name="敏感字段清单" sheetId="8" r:id="R494b8d73855d44a8"/>
    <x:sheet xmlns:r="http://schemas.openxmlformats.org/officeDocument/2006/relationships" name="Skill规则" sheetId="9" r:id="Rd971114036984dd8"/>
    <x:sheet xmlns:r="http://schemas.openxmlformats.org/officeDocument/2006/relationships" name="差异修正记录" sheetId="10" r:id="R56460e0391c44393"/>
    <x:sheet xmlns:r="http://schemas.openxmlformats.org/officeDocument/2006/relationships" name="文件识别规则" sheetId="11" r:id="R2e40d3559a744ec0"/>
    <x:sheet xmlns:r="http://schemas.openxmlformats.org/officeDocument/2006/relationships" name="聚合防重规则" sheetId="12" r:id="Rd0db38a6beb04b37"/>
    <x:sheet xmlns:r="http://schemas.openxmlformats.org/officeDocument/2006/relationships" name="导出指令模板" sheetId="13" r:id="Rc5b39a6949b942f4"/>
    <x:sheet xmlns:r="http://schemas.openxmlformats.org/officeDocument/2006/relationships" name="Skill加载建议" sheetId="14" r:id="Rb6eab4ed2e9c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  <x:font>
      <x:b/>
      <x:sz val="11"/>
      <x:color rgb="FF1F4E78"/>
      <x:name val="Carlito"/>
    </x:font>
    <x:font>
      <x:b/>
      <x:sz val="18"/>
      <x:color rgb="FF1F4E78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</x:fills>
  <x:borders count="21"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8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9" xfId="0" applyNumberFormat="1" applyFont="1" applyFill="1" applyBorder="1"/>
    <x:xf numFmtId="0" fontId="6" fillId="6" borderId="9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9" borderId="12" xfId="0" applyNumberFormat="1" applyFont="1" applyFill="1" applyBorder="1" applyAlignment="1">
      <x:alignment horizontal="center" vertical="center" wrapText="1"/>
    </x:xf>
    <x:xf numFmtId="0" fontId="8" fillId="9" borderId="13" xfId="0" applyNumberFormat="1" applyFont="1" applyFill="1" applyBorder="1" applyAlignment="1">
      <x:alignment horizontal="center" vertical="center" wrapText="1"/>
    </x:xf>
    <x:xf numFmtId="0" fontId="8" fillId="9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vertical="top" wrapText="1"/>
    </x:xf>
    <x:xf numFmtId="0" fontId="0" fillId="10" borderId="16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0" fontId="9" fillId="10" borderId="15" xfId="0" applyNumberFormat="1" applyFont="1" applyFill="1" applyBorder="1" applyAlignment="1">
      <x:alignment vertical="top" wrapText="1"/>
    </x:xf>
    <x:xf numFmtId="0" fontId="9" fillId="10" borderId="16" xfId="0" applyNumberFormat="1" applyFont="1" applyFill="1" applyBorder="1" applyAlignment="1">
      <x:alignment vertical="top" wrapText="1"/>
    </x:xf>
    <x:xf numFmtId="0" fontId="9" fillId="10" borderId="17" xfId="0" applyNumberFormat="1" applyFont="1" applyFill="1" applyBorder="1" applyAlignment="1">
      <x:alignment vertical="top" wrapText="1"/>
    </x:xf>
    <x:xf numFmtId="0" fontId="0" fillId="10" borderId="18" xfId="0" applyNumberFormat="1" applyFont="1" applyFill="1" applyBorder="1" applyAlignment="1">
      <x:alignment vertical="top" wrapText="1"/>
    </x:xf>
    <x:xf numFmtId="0" fontId="0" fillId="10" borderId="19" xfId="0" applyNumberFormat="1" applyFont="1" applyFill="1" applyBorder="1" applyAlignment="1">
      <x:alignment vertical="top" wrapText="1"/>
    </x:xf>
    <x:xf numFmtId="0" fontId="0" fillId="10" borderId="20" xfId="0" applyNumberFormat="1" applyFont="1" applyFill="1" applyBorder="1" applyAlignment="1">
      <x:alignment vertical="top" wrapText="1"/>
    </x:xf>
    <x:xf numFmtId="0" fontId="9" fillId="10" borderId="18" xfId="0" applyNumberFormat="1" applyFont="1" applyFill="1" applyBorder="1" applyAlignment="1">
      <x:alignment vertical="top" wrapText="1"/>
    </x:xf>
    <x:xf numFmtId="0" fontId="9" fillId="10" borderId="19" xfId="0" applyNumberFormat="1" applyFont="1" applyFill="1" applyBorder="1" applyAlignment="1">
      <x:alignment vertical="top" wrapText="1"/>
    </x:xf>
    <x:xf numFmtId="0" fontId="9" fillId="10" borderId="2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1416618fa458a" /><Relationship Type="http://schemas.openxmlformats.org/officeDocument/2006/relationships/theme" Target="/xl/theme/theme1.xml" Id="R2aa3e8657e3d4d58" /><Relationship Type="http://schemas.openxmlformats.org/officeDocument/2006/relationships/sharedStrings" Target="/xl/sharedStrings.xml" Id="R7d0a775347064c0e" /><Relationship Type="http://schemas.openxmlformats.org/officeDocument/2006/relationships/worksheet" Target="/xl/worksheets/sheet1.xml" Id="Rad1be2fa6b96436b" /><Relationship Type="http://schemas.openxmlformats.org/officeDocument/2006/relationships/worksheet" Target="/xl/worksheets/sheet2.xml" Id="R556ba08514644d23" /><Relationship Type="http://schemas.openxmlformats.org/officeDocument/2006/relationships/worksheet" Target="/xl/worksheets/sheet3.xml" Id="R46c7b1143ff84387" /><Relationship Type="http://schemas.openxmlformats.org/officeDocument/2006/relationships/worksheet" Target="/xl/worksheets/sheet4.xml" Id="R3a617ac666404756" /><Relationship Type="http://schemas.openxmlformats.org/officeDocument/2006/relationships/worksheet" Target="/xl/worksheets/sheet5.xml" Id="R451f87592e9f4ac5" /><Relationship Type="http://schemas.openxmlformats.org/officeDocument/2006/relationships/worksheet" Target="/xl/worksheets/sheet6.xml" Id="Race93c6357a7459f" /><Relationship Type="http://schemas.openxmlformats.org/officeDocument/2006/relationships/worksheet" Target="/xl/worksheets/sheet7.xml" Id="Rac2e768675e94c60" /><Relationship Type="http://schemas.openxmlformats.org/officeDocument/2006/relationships/worksheet" Target="/xl/worksheets/sheet8.xml" Id="R494b8d73855d44a8" /><Relationship Type="http://schemas.openxmlformats.org/officeDocument/2006/relationships/worksheet" Target="/xl/worksheets/sheet9.xml" Id="Rd971114036984dd8" /><Relationship Type="http://schemas.openxmlformats.org/officeDocument/2006/relationships/worksheet" Target="/xl/worksheets/sheet10.xml" Id="R56460e0391c44393" /><Relationship Type="http://schemas.openxmlformats.org/officeDocument/2006/relationships/worksheet" Target="/xl/worksheets/sheet11.xml" Id="R2e40d3559a744ec0" /><Relationship Type="http://schemas.openxmlformats.org/officeDocument/2006/relationships/worksheet" Target="/xl/worksheets/sheet12.xml" Id="Rd0db38a6beb04b37" /><Relationship Type="http://schemas.openxmlformats.org/officeDocument/2006/relationships/worksheet" Target="/xl/worksheets/sheet13.xml" Id="Rc5b39a6949b942f4" /><Relationship Type="http://schemas.openxmlformats.org/officeDocument/2006/relationships/worksheet" Target="/xl/worksheets/sheet14.xml" Id="Rb6eab4ed2e9c4f9c" /></Relationships>
</file>

<file path=xl/tables/table1.xml><?xml version="1.0" encoding="utf-8"?>
<x:table xmlns:x="http://schemas.openxmlformats.org/spreadsheetml/2006/main" id="1" name="AllFieldsTable" displayName="AllFieldsTable" ref="A4:O169" headerRowCount="1">
  <x:tableColumns count="15">
    <x:tableColumn id="1" name="序号"/>
    <x:tableColumn id="2" name="导出表"/>
    <x:tableColumn id="3" name="工作表/模块"/>
    <x:tableColumn id="4" name="原始字段名"/>
    <x:tableColumn id="5" name="字段上下文"/>
    <x:tableColumn id="6" name="标准字段名"/>
    <x:tableColumn id="7" name="字段含义"/>
    <x:tableColumn id="8" name="字段分类"/>
    <x:tableColumn id="9" name="MCP支持程度"/>
    <x:tableColumn id="10" name="MCP工具/类型"/>
    <x:tableColumn id="11" name="MCP对应字段/指标"/>
    <x:tableColumn id="12" name="推荐处理方式"/>
    <x:tableColumn id="13" name="关联键/补充说明"/>
    <x:tableColumn id="14" name="敏感级别"/>
    <x:tableColumn id="15" name="是否需客户导出"/>
  </x:tableColumns>
  <x:tableStyleInfo name="TableStyleMedium2" showRowStripes="1"/>
</x:table>
</file>

<file path=xl/tables/table2.xml><?xml version="1.0" encoding="utf-8"?>
<x:table xmlns:x="http://schemas.openxmlformats.org/spreadsheetml/2006/main" id="2" name="OverviewTable" displayName="OverviewTable" ref="A6:J13" headerRowCount="1">
  <x:tableColumns count="10">
    <x:tableColumn id="1" name="导出表"/>
    <x:tableColumn id="2" name="工作表/模块"/>
    <x:tableColumn id="3" name="字段数"/>
    <x:tableColumn id="4" name="直接支持"/>
    <x:tableColumn id="5" name="部分支持"/>
    <x:tableColumn id="6" name="组合计算"/>
    <x:tableColumn id="7" name="不支持需导出"/>
    <x:tableColumn id="8" name="建议用途"/>
    <x:tableColumn id="9" name="建议时间口径"/>
    <x:tableColumn id="10" name="主要关联键"/>
  </x:tableColumns>
  <x:tableStyleInfo name="TableStyleMedium2" showRowStripes="1"/>
</x:table>
</file>

<file path=xl/tables/table3.xml><?xml version="1.0" encoding="utf-8"?>
<x:table xmlns:x="http://schemas.openxmlformats.org/spreadsheetml/2006/main" id="3" name="UnsupportedFieldsTable" displayName="UnsupportedFieldsTable" ref="A4:K70" headerRowCount="1">
  <x:tableColumns count="11">
    <x:tableColumn id="1" name="序号"/>
    <x:tableColumn id="2" name="导出表"/>
    <x:tableColumn id="3" name="工作表/模块"/>
    <x:tableColumn id="4" name="原始字段名"/>
    <x:tableColumn id="5" name="字段上下文"/>
    <x:tableColumn id="6" name="标准字段名"/>
    <x:tableColumn id="7" name="字段含义"/>
    <x:tableColumn id="8" name="字段分类"/>
    <x:tableColumn id="9" name="推荐处理方式"/>
    <x:tableColumn id="10" name="关联键/补充说明"/>
    <x:tableColumn id="11" name="敏感级别"/>
  </x:tableColumns>
  <x:tableStyleInfo name="TableStyleMedium2" showRowStripes="1"/>
</x:table>
</file>

<file path=xl/tables/table4.xml><?xml version="1.0" encoding="utf-8"?>
<x:table xmlns:x="http://schemas.openxmlformats.org/spreadsheetml/2006/main" id="4" name="PartialFieldsTable" displayName="PartialFieldsTable" ref="A4:K15" headerRowCount="1">
  <x:tableColumns count="11">
    <x:tableColumn id="1" name="序号"/>
    <x:tableColumn id="2" name="导出表"/>
    <x:tableColumn id="3" name="工作表/模块"/>
    <x:tableColumn id="4" name="原始字段名"/>
    <x:tableColumn id="5" name="标准字段名"/>
    <x:tableColumn id="6" name="MCP支持程度"/>
    <x:tableColumn id="7" name="MCP工具/类型"/>
    <x:tableColumn id="8" name="MCP对应字段/指标"/>
    <x:tableColumn id="9" name="推荐处理方式"/>
    <x:tableColumn id="10" name="关联键/补充说明"/>
    <x:tableColumn id="11" name="是否需客户导出"/>
  </x:tableColumns>
  <x:tableStyleInfo name="TableStyleMedium2" showRowStripes="1"/>
</x:table>
</file>

<file path=xl/tables/table5.xml><?xml version="1.0" encoding="utf-8"?>
<x:table xmlns:x="http://schemas.openxmlformats.org/spreadsheetml/2006/main" id="5" name="SolutionScenariosTable" displayName="SolutionScenariosTable" ref="A4:I18" headerRowCount="1">
  <x:tableColumns count="9">
    <x:tableColumn id="1" name="需求场景"/>
    <x:tableColumn id="2" name="MCP先查什么"/>
    <x:tableColumn id="3" name="需导出表"/>
    <x:tableColumn id="4" name="建议导出字段"/>
    <x:tableColumn id="5" name="导出时间范围"/>
    <x:tableColumn id="6" name="合并键"/>
    <x:tableColumn id="7" name="计算逻辑"/>
    <x:tableColumn id="8" name="口径风险"/>
    <x:tableColumn id="9" name="隐私要求"/>
  </x:tableColumns>
  <x:tableStyleInfo name="TableStyleMedium2" showRowStripes="1"/>
</x:table>
</file>

<file path=xl/tables/table6.xml><?xml version="1.0" encoding="utf-8"?>
<x:table xmlns:x="http://schemas.openxmlformats.org/spreadsheetml/2006/main" id="6" name="RulesTable" displayName="RulesTable" ref="A4:C20" headerRowCount="1">
  <x:tableColumns count="3">
    <x:tableColumn id="1" name="规则主题"/>
    <x:tableColumn id="2" name="规则内容"/>
    <x:tableColumn id="3" name="原因/风险"/>
  </x:tableColumns>
  <x:tableStyleInfo name="TableStyleMedium2" showRowStripes="1"/>
</x:table>
</file>

<file path=xl/tables/table7.xml><?xml version="1.0" encoding="utf-8"?>
<x:table xmlns:x="http://schemas.openxmlformats.org/spreadsheetml/2006/main" id="7" name="SensitiveFieldsTable" displayName="SensitiveFieldsTable" ref="A4:J91" headerRowCount="1">
  <x:tableColumns count="10">
    <x:tableColumn id="1" name="序号"/>
    <x:tableColumn id="2" name="导出表"/>
    <x:tableColumn id="3" name="工作表/模块"/>
    <x:tableColumn id="4" name="原始字段名"/>
    <x:tableColumn id="5" name="字段上下文"/>
    <x:tableColumn id="6" name="标准字段名"/>
    <x:tableColumn id="7" name="字段含义"/>
    <x:tableColumn id="8" name="敏感级别"/>
    <x:tableColumn id="9" name="是否需客户导出"/>
    <x:tableColumn id="10" name="推荐处理方式"/>
  </x:tableColumns>
  <x:tableStyleInfo name="TableStyleMedium2" showRowStripes="1"/>
</x:table>
</file>

<file path=xl/tables/table8.xml><?xml version="1.0" encoding="utf-8"?>
<x:table xmlns:x="http://schemas.openxmlformats.org/spreadsheetml/2006/main" id="8" name="SkillRulesTable" displayName="SkillRulesTable" ref="A4:B13" headerRowCount="1">
  <x:tableColumns count="2">
    <x:tableColumn id="1" name="场景"/>
    <x:tableColumn id="2" name="可复用规则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08e8653b7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c2d2daaabc43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d5fee6a03340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767c3a33a342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bff7fcb15a44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1f2b2e6f3b4a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d6e32efb794d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fdbd4d57aa457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ERP MCP 与系统导出表字段协同清单</x:v>
      </x:c>
      <x:c r="B1" s="5"/>
      <x:c r="C1" s="5"/>
      <x:c r="D1" s="5"/>
      <x:c r="E1" s="5"/>
      <x:c r="F1" s="5"/>
      <x:c r="G1" s="5"/>
      <x:c r="H1" s="5"/>
    </x:row>
    <x:row r="2" ht="36" customHeight="1">
      <x:c r="A2" s="13" t="str">
        <x:v>用途：当客户需求无法仅靠 MCP 完成时，快速判断应让客户导出哪张表、哪个时间段和哪些字段。清单已通用化，不包含任何具体公司、门店或人员名称。</x:v>
      </x:c>
      <x:c r="B2" s="13"/>
      <x:c r="C2" s="13"/>
      <x:c r="D2" s="13"/>
      <x:c r="E2" s="13"/>
      <x:c r="F2" s="13"/>
      <x:c r="G2" s="13"/>
      <x:c r="H2" s="13"/>
    </x:row>
    <x:row r="4">
      <x:c r="A4" s="26" t="str">
        <x:v>项目</x:v>
      </x:c>
      <x:c r="B4" s="27" t="str">
        <x:v>内容</x:v>
      </x:c>
      <x:c r="D4" s="52" t="str">
        <x:v>字段项总数</x:v>
      </x:c>
      <x:c r="E4" s="52" t="str">
        <x:v>直接支持</x:v>
      </x:c>
      <x:c r="F4" s="52" t="str">
        <x:v>部分支持</x:v>
      </x:c>
      <x:c r="G4" s="52" t="str">
        <x:v>组合计算</x:v>
      </x:c>
      <x:c r="H4" s="52" t="str">
        <x:v>不支持需导出</x:v>
      </x:c>
    </x:row>
    <x:row r="5">
      <x:c r="A5" s="42" t="str">
        <x:v>分析依据</x:v>
      </x:c>
      <x:c r="B5" s="42" t="str">
        <x:v>当前 ERP MCP 能力清单（统计、合同财务、房源及小区工具）与系统可导出的 7 个表格模块表头。</x:v>
      </x:c>
      <x:c r="D5" s="52"/>
      <x:c r="E5" s="52"/>
      <x:c r="F5" s="52"/>
      <x:c r="G5" s="52"/>
      <x:c r="H5" s="52"/>
    </x:row>
    <x:row r="6">
      <x:c r="A6" s="42" t="str">
        <x:v>字段项总数</x:v>
      </x:c>
      <x:c r="B6" s="42" t="str">
        <x:v>165</x:v>
      </x:c>
      <x:c r="D6" s="60" t="n">
        <x:v>165</x:v>
      </x:c>
      <x:c r="E6" s="60" t="n">
        <x:v>88</x:v>
      </x:c>
      <x:c r="F6" s="60" t="n">
        <x:v>10</x:v>
      </x:c>
      <x:c r="G6" s="60" t="n">
        <x:v>1</x:v>
      </x:c>
      <x:c r="H6" s="60" t="n">
        <x:v>66</x:v>
      </x:c>
    </x:row>
    <x:row r="7">
      <x:c r="A7" s="42" t="str">
        <x:v>MCP直接支持</x:v>
      </x:c>
      <x:c r="B7" s="42" t="str">
        <x:v>88</x:v>
      </x:c>
    </x:row>
    <x:row r="8">
      <x:c r="A8" s="42" t="str">
        <x:v>MCP部分支持</x:v>
      </x:c>
      <x:c r="B8" s="42" t="str">
        <x:v>10</x:v>
      </x:c>
    </x:row>
    <x:row r="9">
      <x:c r="A9" s="42" t="str">
        <x:v>MCP可组合计算</x:v>
      </x:c>
      <x:c r="B9" s="42" t="str">
        <x:v>1</x:v>
      </x:c>
    </x:row>
    <x:row r="10">
      <x:c r="A10" s="42" t="str">
        <x:v>MCP不支持、需导出</x:v>
      </x:c>
      <x:c r="B10" s="42" t="str">
        <x:v>66</x:v>
      </x:c>
    </x:row>
    <x:row r="11">
      <x:c r="A11" s="42" t="str">
        <x:v>状态定义</x:v>
      </x:c>
      <x:c r="B11" s="42" t="str">
        <x:v>直接支持：MCP明细字段可直接取得；部分支持：有相近字段但层级、枚举或范围不完整；组合计算：可由多个MCP明细汇总得到；不支持：当前MCP没有可靠字段。</x:v>
      </x:c>
    </x:row>
    <x:row r="12">
      <x:c r="A12" s="42" t="str">
        <x:v>使用顺序</x:v>
      </x:c>
      <x:c r="B12" s="42" t="str">
        <x:v>先用MCP获取统计或明细 → 对照“需求解决方案”判断缺口 → 只让客户导出缺失表格和必要字段 → 按“关联键与口径”合并。</x:v>
      </x:c>
    </x:row>
    <x:row r="13">
      <x:c r="A13" s="42" t="str">
        <x:v>关键限制</x:v>
      </x:c>
      <x:c r="B13" s="42" t="str">
        <x:v>MCP日期范围通常不超过31天；queryRptData统计日期底层口径未公开；统计值与合同明细条数可能不一致。</x:v>
      </x:c>
    </x:row>
    <x:row r="14">
      <x:c r="A14" s="42" t="str">
        <x:v>隐私原则</x:v>
      </x:c>
      <x:c r="B14" s="42" t="str">
        <x:v>只导出解决需求所需字段；身份证、电话、银行卡、社保、公积金、详细地址、紧急联系人等默认删除或脱敏。</x:v>
      </x:c>
    </x:row>
    <x:row r="15">
      <x:c r="A15" s="43" t="str">
        <x:v>通用化原则</x:v>
      </x:c>
      <x:c r="B15" s="43" t="str">
        <x:v>不得在Skill或分析逻辑中写死公司名、门店名、人员名；组织层级按实际导出字段动态识别。</x:v>
      </x:c>
    </x:row>
    <x:row r="17">
      <x:c r="A17" s="101" t="str">
        <x:v>优化版新增内容</x:v>
      </x:c>
      <x:c r="B17" s="101"/>
      <x:c r="C17" s="101"/>
      <x:c r="D17" s="101"/>
      <x:c r="E17" s="101"/>
      <x:c r="F17" s="101"/>
      <x:c r="G17" s="101"/>
      <x:c r="H17" s="101"/>
    </x:row>
    <x:row r="18">
      <x:c r="A18" s="103" t="str">
        <x:v>新增工作表</x:v>
      </x:c>
      <x:c r="B18" s="103" t="str">
        <x:v>差异修正记录、文件识别规则、聚合防重规则、导出指令模板、Skill加载建议。</x:v>
      </x:c>
    </x:row>
    <x:row r="19">
      <x:c r="A19" s="103" t="str">
        <x:v>建议Skill结构</x:v>
      </x:c>
      <x:c r="B19" s="103" t="str">
        <x:v>SKILL.md放核心规则；详细TXT放说明；TSV放165行字段矩阵；XLSX用于人工维护和审计。</x:v>
      </x:c>
    </x:row>
    <x:row r="20">
      <x:c r="A20" s="103" t="str">
        <x:v>关键修正</x:v>
      </x:c>
      <x:c r="B20" s="103" t="str">
        <x:v>人员汇总表为“汇总”，字段含“人数”而非“分组”；合同匹配必须使用合同类型+合同编号。</x:v>
      </x:c>
    </x:row>
    <x:row r="21">
      <x:c r="A21" s="103" t="str">
        <x:v>计算约束</x:v>
      </x:c>
      <x:c r="B21" s="103" t="str">
        <x:v>多个财务/业绩子表不得直接一对多连接后汇总，必须先按目标粒度聚合。</x:v>
      </x:c>
    </x:row>
    <x:row r="22">
      <x:c r="A22" s="103" t="str">
        <x:v>版本</x:v>
      </x:c>
      <x:c r="B22" s="103" t="str">
        <x:v>优化版 2026-07-14</x:v>
      </x:c>
    </x:row>
  </x:sheetData>
  <x:mergeCells>
    <x:mergeCell ref="A1:H1"/>
    <x:mergeCell ref="A2:H2"/>
    <x:mergeCell ref="D4:D5"/>
    <x:mergeCell ref="E4:E5"/>
    <x:mergeCell ref="F4:F5"/>
    <x:mergeCell ref="G4:G5"/>
    <x:mergeCell ref="H4:H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8" hidden="0" customWidth="1"/>
    <x:col min="5" max="5" width="13" hidden="0" customWidth="1"/>
    <x:col min="6" max="6" width="20" hidden="0" customWidth="1"/>
    <x:col min="7" max="7" width="32" hidden="0" customWidth="1"/>
    <x:col min="8" max="8" width="16" hidden="0" customWidth="1"/>
    <x:col min="9" max="9" width="13" hidden="0" customWidth="1"/>
    <x:col min="10" max="10" width="30" hidden="0" customWidth="1"/>
    <x:col min="11" max="11" width="28" hidden="0" customWidth="1"/>
    <x:col min="12" max="12" width="42" hidden="0" customWidth="1"/>
    <x:col min="13" max="13" width="40" hidden="0" customWidth="1"/>
    <x:col min="14" max="14" width="10" hidden="0" customWidth="1"/>
    <x:col min="15" max="15" width="13" hidden="0" customWidth="1"/>
  </x:cols>
  <x:sheetData>
    <x:row r="1" ht="28" customHeight="1">
      <x:c r="A1" s="74" t="str">
        <x:v>全字段对照（165项）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6" customHeight="1">
      <x:c r="A2" s="75" t="str">
        <x:v>每一行对应一个导出字段。重点查看“MCP支持程度”“推荐处理方式”“是否需客户导出”。原始字段名保留导出表样式，字段上下文用于区分重复字段。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3">
      <x:c r="A3" s="76"/>
    </x:row>
    <x:row r="4" ht="32" customHeight="1">
      <x:c r="A4" s="77" t="str">
        <x:v>序号</x:v>
      </x:c>
      <x:c r="B4" s="69" t="str">
        <x:v>导出表</x:v>
      </x:c>
      <x:c r="C4" s="69" t="str">
        <x:v>工作表/模块</x:v>
      </x:c>
      <x:c r="D4" s="69" t="str">
        <x:v>原始字段名</x:v>
      </x:c>
      <x:c r="E4" s="69" t="str">
        <x:v>字段上下文</x:v>
      </x:c>
      <x:c r="F4" s="69" t="str">
        <x:v>标准字段名</x:v>
      </x:c>
      <x:c r="G4" s="69" t="str">
        <x:v>字段含义</x:v>
      </x:c>
      <x:c r="H4" s="69" t="str">
        <x:v>字段分类</x:v>
      </x:c>
      <x:c r="I4" s="69" t="str">
        <x:v>MCP支持程度</x:v>
      </x:c>
      <x:c r="J4" s="69" t="str">
        <x:v>MCP工具/类型</x:v>
      </x:c>
      <x:c r="K4" s="69" t="str">
        <x:v>MCP对应字段/指标</x:v>
      </x:c>
      <x:c r="L4" s="69" t="str">
        <x:v>推荐处理方式</x:v>
      </x:c>
      <x:c r="M4" s="69" t="str">
        <x:v>关联键/补充说明</x:v>
      </x:c>
      <x:c r="N4" s="69" t="str">
        <x:v>敏感级别</x:v>
      </x:c>
      <x:c r="O4" s="27" t="str">
        <x:v>是否需客户导出</x:v>
      </x:c>
    </x:row>
    <x:row r="5">
      <x:c r="A5" s="42" t="n">
        <x:v>1</x:v>
      </x:c>
      <x:c r="B5" s="42" t="str">
        <x:v>付款明细导出</x:v>
      </x:c>
      <x:c r="C5" s="42" t="str">
        <x:v>付款明细</x:v>
      </x:c>
      <x:c r="D5" s="42" t="str">
        <x:v>合同类型</x:v>
      </x:c>
      <x:c r="E5" s="42" t="str"/>
      <x:c r="F5" s="42" t="str">
        <x:v>合同类型</x:v>
      </x:c>
      <x:c r="G5" s="42" t="str">
        <x:v>合同所属业务类型</x:v>
      </x:c>
      <x:c r="H5" s="42" t="str">
        <x:v>合同标识</x:v>
      </x:c>
      <x:c r="I5" s="42" t="str">
        <x:v>直接支持</x:v>
      </x:c>
      <x:c r="J5" s="42" t="str">
        <x:v>queryContractFinanceData / 付款明细</x:v>
      </x:c>
      <x:c r="K5" s="42" t="str">
        <x:v>contractType</x:v>
      </x:c>
      <x:c r="L5" s="42" t="str">
        <x:v>优先直接用MCP查询。</x:v>
      </x:c>
      <x:c r="M5" s="42" t="str">
        <x:v>与合同编号组成合同唯一键。</x:v>
      </x:c>
      <x:c r="N5" s="42" t="str">
        <x:v>普通</x:v>
      </x:c>
      <x:c r="O5" s="42" t="str">
        <x:v>否</x:v>
      </x:c>
    </x:row>
    <x:row r="6">
      <x:c r="A6" s="42" t="n">
        <x:v>2</x:v>
      </x:c>
      <x:c r="B6" s="42" t="str">
        <x:v>付款明细导出</x:v>
      </x:c>
      <x:c r="C6" s="42" t="str">
        <x:v>付款明细</x:v>
      </x:c>
      <x:c r="D6" s="42" t="str">
        <x:v>合同编号</x:v>
      </x:c>
      <x:c r="E6" s="42" t="str"/>
      <x:c r="F6" s="42" t="str">
        <x:v>合同编号</x:v>
      </x:c>
      <x:c r="G6" s="42" t="str">
        <x:v>合同编号</x:v>
      </x:c>
      <x:c r="H6" s="42" t="str">
        <x:v>合同标识</x:v>
      </x:c>
      <x:c r="I6" s="42" t="str">
        <x:v>直接支持</x:v>
      </x:c>
      <x:c r="J6" s="42" t="str">
        <x:v>queryContractFinanceData / 付款明细</x:v>
      </x:c>
      <x:c r="K6" s="42" t="str">
        <x:v>contractNo</x:v>
      </x:c>
      <x:c r="L6" s="42" t="str">
        <x:v>优先直接用MCP查询。</x:v>
      </x:c>
      <x:c r="M6" s="42" t="str">
        <x:v>必须按文本处理并清理首尾空格。</x:v>
      </x:c>
      <x:c r="N6" s="42" t="str">
        <x:v>中敏</x:v>
      </x:c>
      <x:c r="O6" s="42" t="str">
        <x:v>否</x:v>
      </x:c>
    </x:row>
    <x:row r="7">
      <x:c r="A7" s="42" t="n">
        <x:v>3</x:v>
      </x:c>
      <x:c r="B7" s="42" t="str">
        <x:v>付款明细导出</x:v>
      </x:c>
      <x:c r="C7" s="42" t="str">
        <x:v>付款明细</x:v>
      </x:c>
      <x:c r="D7" s="42" t="str">
        <x:v>签约时间</x:v>
      </x:c>
      <x:c r="E7" s="42" t="str"/>
      <x:c r="F7" s="42" t="str">
        <x:v>签约日期</x:v>
      </x:c>
      <x:c r="G7" s="42" t="str">
        <x:v>合同签约日期</x:v>
      </x:c>
      <x:c r="H7" s="42" t="str">
        <x:v>日期</x:v>
      </x:c>
      <x:c r="I7" s="42" t="str">
        <x:v>直接支持</x:v>
      </x:c>
      <x:c r="J7" s="42" t="str">
        <x:v>queryContractFinanceData / 付款明细</x:v>
      </x:c>
      <x:c r="K7" s="42" t="str">
        <x:v>contractDate</x:v>
      </x:c>
      <x:c r="L7" s="42" t="str">
        <x:v>优先直接用MCP查询。</x:v>
      </x:c>
      <x:c r="M7" s="42" t="str">
        <x:v>不要与付款日期混用。</x:v>
      </x:c>
      <x:c r="N7" s="42" t="str">
        <x:v>普通</x:v>
      </x:c>
      <x:c r="O7" s="42" t="str">
        <x:v>否</x:v>
      </x:c>
    </x:row>
    <x:row r="8">
      <x:c r="A8" s="42" t="n">
        <x:v>4</x:v>
      </x:c>
      <x:c r="B8" s="42" t="str">
        <x:v>付款明细导出</x:v>
      </x:c>
      <x:c r="C8" s="42" t="str">
        <x:v>付款明细</x:v>
      </x:c>
      <x:c r="D8" s="42" t="str">
        <x:v>类型</x:v>
      </x:c>
      <x:c r="E8" s="42" t="str"/>
      <x:c r="F8" s="42" t="str">
        <x:v>付款类型</x:v>
      </x:c>
      <x:c r="G8" s="42" t="str">
        <x:v>实付或退款</x:v>
      </x:c>
      <x:c r="H8" s="42" t="str">
        <x:v>状态/分类</x:v>
      </x:c>
      <x:c r="I8" s="42" t="str">
        <x:v>直接支持</x:v>
      </x:c>
      <x:c r="J8" s="42" t="str">
        <x:v>queryContractFinanceData / 付款明细</x:v>
      </x:c>
      <x:c r="K8" s="42" t="str">
        <x:v>付款类型</x:v>
      </x:c>
      <x:c r="L8" s="42" t="str">
        <x:v>优先直接用MCP查询。</x:v>
      </x:c>
      <x:c r="M8" s="42" t="str">
        <x:v>枚举通常为实付/退款。</x:v>
      </x:c>
      <x:c r="N8" s="42" t="str">
        <x:v>普通</x:v>
      </x:c>
      <x:c r="O8" s="42" t="str">
        <x:v>否</x:v>
      </x:c>
    </x:row>
    <x:row r="9">
      <x:c r="A9" s="42" t="n">
        <x:v>5</x:v>
      </x:c>
      <x:c r="B9" s="42" t="str">
        <x:v>付款明细导出</x:v>
      </x:c>
      <x:c r="C9" s="42" t="str">
        <x:v>付款明细</x:v>
      </x:c>
      <x:c r="D9" s="42" t="str">
        <x:v>科目</x:v>
      </x:c>
      <x:c r="E9" s="42" t="str"/>
      <x:c r="F9" s="42" t="str">
        <x:v>款项类型</x:v>
      </x:c>
      <x:c r="G9" s="42" t="str">
        <x:v>付款对应款项科目</x:v>
      </x:c>
      <x:c r="H9" s="42" t="str">
        <x:v>财务科目</x:v>
      </x:c>
      <x:c r="I9" s="42" t="str">
        <x:v>直接支持</x:v>
      </x:c>
      <x:c r="J9" s="42" t="str">
        <x:v>queryContractFinanceData / 付款明细</x:v>
      </x:c>
      <x:c r="K9" s="42" t="str">
        <x:v>款项类型</x:v>
      </x:c>
      <x:c r="L9" s="42" t="str">
        <x:v>优先直接用MCP查询。</x:v>
      </x:c>
      <x:c r="M9" s="42" t="str"/>
      <x:c r="N9" s="42" t="str">
        <x:v>普通</x:v>
      </x:c>
      <x:c r="O9" s="42" t="str">
        <x:v>否</x:v>
      </x:c>
    </x:row>
    <x:row r="10">
      <x:c r="A10" s="42" t="n">
        <x:v>6</x:v>
      </x:c>
      <x:c r="B10" s="42" t="str">
        <x:v>付款明细导出</x:v>
      </x:c>
      <x:c r="C10" s="42" t="str">
        <x:v>付款明细</x:v>
      </x:c>
      <x:c r="D10" s="42" t="str">
        <x:v>状态</x:v>
      </x:c>
      <x:c r="E10" s="42" t="str"/>
      <x:c r="F10" s="42" t="str">
        <x:v>审核状态</x:v>
      </x:c>
      <x:c r="G10" s="42" t="str">
        <x:v>付款审核状态</x:v>
      </x:c>
      <x:c r="H10" s="42" t="str">
        <x:v>状态/分类</x:v>
      </x:c>
      <x:c r="I10" s="42" t="str">
        <x:v>直接支持</x:v>
      </x:c>
      <x:c r="J10" s="42" t="str">
        <x:v>queryContractFinanceData / 付款明细</x:v>
      </x:c>
      <x:c r="K10" s="42" t="str">
        <x:v>审核状态</x:v>
      </x:c>
      <x:c r="L10" s="42" t="str">
        <x:v>优先直接用MCP查询。</x:v>
      </x:c>
      <x:c r="M10" s="42" t="str">
        <x:v>以MCP实际返回值为准。</x:v>
      </x:c>
      <x:c r="N10" s="42" t="str">
        <x:v>普通</x:v>
      </x:c>
      <x:c r="O10" s="42" t="str">
        <x:v>否</x:v>
      </x:c>
    </x:row>
    <x:row r="11">
      <x:c r="A11" s="42" t="n">
        <x:v>7</x:v>
      </x:c>
      <x:c r="B11" s="42" t="str">
        <x:v>付款明细导出</x:v>
      </x:c>
      <x:c r="C11" s="42" t="str">
        <x:v>付款明细</x:v>
      </x:c>
      <x:c r="D11" s="42" t="str">
        <x:v>金额</x:v>
      </x:c>
      <x:c r="E11" s="42" t="str"/>
      <x:c r="F11" s="42" t="str">
        <x:v>付款金额</x:v>
      </x:c>
      <x:c r="G11" s="42" t="str">
        <x:v>付款或退款金额</x:v>
      </x:c>
      <x:c r="H11" s="42" t="str">
        <x:v>金额</x:v>
      </x:c>
      <x:c r="I11" s="42" t="str">
        <x:v>直接支持</x:v>
      </x:c>
      <x:c r="J11" s="42" t="str">
        <x:v>queryContractFinanceData / 付款明细</x:v>
      </x:c>
      <x:c r="K11" s="42" t="str">
        <x:v>金额</x:v>
      </x:c>
      <x:c r="L11" s="42" t="str">
        <x:v>优先直接用MCP查询。</x:v>
      </x:c>
      <x:c r="M11" s="42" t="str">
        <x:v>退款是否以负数表示需按实际数据确认。</x:v>
      </x:c>
      <x:c r="N11" s="42" t="str">
        <x:v>中敏</x:v>
      </x:c>
      <x:c r="O11" s="42" t="str">
        <x:v>否</x:v>
      </x:c>
    </x:row>
    <x:row r="12">
      <x:c r="A12" s="42" t="n">
        <x:v>8</x:v>
      </x:c>
      <x:c r="B12" s="42" t="str">
        <x:v>付款明细导出</x:v>
      </x:c>
      <x:c r="C12" s="42" t="str">
        <x:v>付款明细</x:v>
      </x:c>
      <x:c r="D12" s="42" t="str">
        <x:v>付款方式</x:v>
      </x:c>
      <x:c r="E12" s="42" t="str"/>
      <x:c r="F12" s="42" t="str">
        <x:v>付款方式</x:v>
      </x:c>
      <x:c r="G12" s="42" t="str">
        <x:v>现金、转账等付款方式</x:v>
      </x:c>
      <x:c r="H12" s="42" t="str">
        <x:v>状态/分类</x:v>
      </x:c>
      <x:c r="I12" s="42" t="str">
        <x:v>直接支持</x:v>
      </x:c>
      <x:c r="J12" s="42" t="str">
        <x:v>queryContractFinanceData / 付款明细</x:v>
      </x:c>
      <x:c r="K12" s="42" t="str">
        <x:v>付款方式</x:v>
      </x:c>
      <x:c r="L12" s="42" t="str">
        <x:v>优先直接用MCP查询。</x:v>
      </x:c>
      <x:c r="M12" s="42" t="str"/>
      <x:c r="N12" s="42" t="str">
        <x:v>普通</x:v>
      </x:c>
      <x:c r="O12" s="42" t="str">
        <x:v>否</x:v>
      </x:c>
    </x:row>
    <x:row r="13">
      <x:c r="A13" s="42" t="n">
        <x:v>9</x:v>
      </x:c>
      <x:c r="B13" s="42" t="str">
        <x:v>付款明细导出</x:v>
      </x:c>
      <x:c r="C13" s="42" t="str">
        <x:v>付款明细</x:v>
      </x:c>
      <x:c r="D13" s="42" t="str">
        <x:v>付款人</x:v>
      </x:c>
      <x:c r="E13" s="42" t="str"/>
      <x:c r="F13" s="42" t="str">
        <x:v>付款人</x:v>
      </x:c>
      <x:c r="G13" s="42" t="str">
        <x:v>实际付款人姓名</x:v>
      </x:c>
      <x:c r="H13" s="42" t="str">
        <x:v>人员</x:v>
      </x:c>
      <x:c r="I13" s="42" t="str">
        <x:v>直接支持</x:v>
      </x:c>
      <x:c r="J13" s="42" t="str">
        <x:v>queryContractFinanceData / 付款明细</x:v>
      </x:c>
      <x:c r="K13" s="42" t="str">
        <x:v>付款人</x:v>
      </x:c>
      <x:c r="L13" s="42" t="str">
        <x:v>优先直接用MCP查询。</x:v>
      </x:c>
      <x:c r="M13" s="42" t="str"/>
      <x:c r="N13" s="42" t="str">
        <x:v>中敏</x:v>
      </x:c>
      <x:c r="O13" s="42" t="str">
        <x:v>否</x:v>
      </x:c>
    </x:row>
    <x:row r="14">
      <x:c r="A14" s="42" t="n">
        <x:v>10</x:v>
      </x:c>
      <x:c r="B14" s="42" t="str">
        <x:v>付款明细导出</x:v>
      </x:c>
      <x:c r="C14" s="42" t="str">
        <x:v>付款明细</x:v>
      </x:c>
      <x:c r="D14" s="42" t="str">
        <x:v>备注</x:v>
      </x:c>
      <x:c r="E14" s="42" t="str"/>
      <x:c r="F14" s="42" t="str">
        <x:v>付款备注</x:v>
      </x:c>
      <x:c r="G14" s="42" t="str">
        <x:v>付款补充说明</x:v>
      </x:c>
      <x:c r="H14" s="42" t="str">
        <x:v>文本备注</x:v>
      </x:c>
      <x:c r="I14" s="42" t="str">
        <x:v>直接支持</x:v>
      </x:c>
      <x:c r="J14" s="42" t="str">
        <x:v>queryContractFinanceData / 付款明细</x:v>
      </x:c>
      <x:c r="K14" s="42" t="str">
        <x:v>备注</x:v>
      </x:c>
      <x:c r="L14" s="42" t="str">
        <x:v>优先直接用MCP查询。</x:v>
      </x:c>
      <x:c r="M14" s="42" t="str">
        <x:v>可能包含个人或业务敏感信息。</x:v>
      </x:c>
      <x:c r="N14" s="42" t="str">
        <x:v>中敏</x:v>
      </x:c>
      <x:c r="O14" s="42" t="str">
        <x:v>否</x:v>
      </x:c>
    </x:row>
    <x:row r="15">
      <x:c r="A15" s="42" t="n">
        <x:v>11</x:v>
      </x:c>
      <x:c r="B15" s="42" t="str">
        <x:v>付款明细导出</x:v>
      </x:c>
      <x:c r="C15" s="42" t="str">
        <x:v>付款明细</x:v>
      </x:c>
      <x:c r="D15" s="42" t="str">
        <x:v>付款日期</x:v>
      </x:c>
      <x:c r="E15" s="42" t="str"/>
      <x:c r="F15" s="42" t="str">
        <x:v>付款日期</x:v>
      </x:c>
      <x:c r="G15" s="42" t="str">
        <x:v>实际付款日期</x:v>
      </x:c>
      <x:c r="H15" s="42" t="str">
        <x:v>日期</x:v>
      </x:c>
      <x:c r="I15" s="42" t="str">
        <x:v>直接支持</x:v>
      </x:c>
      <x:c r="J15" s="42" t="str">
        <x:v>queryContractFinanceData / 付款明细</x:v>
      </x:c>
      <x:c r="K15" s="42" t="str">
        <x:v>付款日期</x:v>
      </x:c>
      <x:c r="L15" s="42" t="str">
        <x:v>优先直接用MCP查询。</x:v>
      </x:c>
      <x:c r="M15" s="42" t="str">
        <x:v>MCP说明该类型按付款创建日期筛选，筛选口径与字段日期需核对。</x:v>
      </x:c>
      <x:c r="N15" s="42" t="str">
        <x:v>普通</x:v>
      </x:c>
      <x:c r="O15" s="42" t="str">
        <x:v>否</x:v>
      </x:c>
    </x:row>
    <x:row r="16">
      <x:c r="A16" s="42" t="n">
        <x:v>12</x:v>
      </x:c>
      <x:c r="B16" s="42" t="str">
        <x:v>合同信息导出</x:v>
      </x:c>
      <x:c r="C16" s="42" t="str">
        <x:v>合同信息</x:v>
      </x:c>
      <x:c r="D16" s="42" t="str">
        <x:v>合同类型</x:v>
      </x:c>
      <x:c r="E16" s="42" t="str"/>
      <x:c r="F16" s="42" t="str">
        <x:v>合同类型</x:v>
      </x:c>
      <x:c r="G16" s="42" t="str">
        <x:v>合同所属业务类型</x:v>
      </x:c>
      <x:c r="H16" s="42" t="str">
        <x:v>合同标识</x:v>
      </x:c>
      <x:c r="I16" s="42" t="str">
        <x:v>直接支持</x:v>
      </x:c>
      <x:c r="J16" s="42" t="str">
        <x:v>queryContractFinanceData / 合同明细</x:v>
      </x:c>
      <x:c r="K16" s="42" t="str">
        <x:v>contractType</x:v>
      </x:c>
      <x:c r="L16" s="42" t="str">
        <x:v>直接使用MCP。</x:v>
      </x:c>
      <x:c r="M16" s="42" t="str">
        <x:v>与合同编号组成合同唯一键。</x:v>
      </x:c>
      <x:c r="N16" s="42" t="str">
        <x:v>普通</x:v>
      </x:c>
      <x:c r="O16" s="42" t="str">
        <x:v>否</x:v>
      </x:c>
    </x:row>
    <x:row r="17">
      <x:c r="A17" s="42" t="n">
        <x:v>13</x:v>
      </x:c>
      <x:c r="B17" s="42" t="str">
        <x:v>合同信息导出</x:v>
      </x:c>
      <x:c r="C17" s="42" t="str">
        <x:v>合同信息</x:v>
      </x:c>
      <x:c r="D17" s="42" t="str">
        <x:v>合同编号</x:v>
      </x:c>
      <x:c r="E17" s="42" t="str"/>
      <x:c r="F17" s="42" t="str">
        <x:v>合同编号</x:v>
      </x:c>
      <x:c r="G17" s="42" t="str">
        <x:v>合同编号</x:v>
      </x:c>
      <x:c r="H17" s="42" t="str">
        <x:v>合同标识</x:v>
      </x:c>
      <x:c r="I17" s="42" t="str">
        <x:v>直接支持</x:v>
      </x:c>
      <x:c r="J17" s="42" t="str">
        <x:v>queryContractFinanceData / 合同明细</x:v>
      </x:c>
      <x:c r="K17" s="42" t="str">
        <x:v>contractNo</x:v>
      </x:c>
      <x:c r="L17" s="42" t="str">
        <x:v>直接使用MCP。</x:v>
      </x:c>
      <x:c r="M17" s="42" t="str">
        <x:v>按文本清理首尾空格，保留前导零。</x:v>
      </x:c>
      <x:c r="N17" s="42" t="str">
        <x:v>中敏</x:v>
      </x:c>
      <x:c r="O17" s="42" t="str">
        <x:v>否</x:v>
      </x:c>
    </x:row>
    <x:row r="18">
      <x:c r="A18" s="42" t="n">
        <x:v>14</x:v>
      </x:c>
      <x:c r="B18" s="42" t="str">
        <x:v>合同信息导出</x:v>
      </x:c>
      <x:c r="C18" s="42" t="str">
        <x:v>合同信息</x:v>
      </x:c>
      <x:c r="D18" s="42" t="str">
        <x:v>结单状态</x:v>
      </x:c>
      <x:c r="E18" s="42" t="str"/>
      <x:c r="F18" s="42" t="str">
        <x:v>结单状态</x:v>
      </x:c>
      <x:c r="G18" s="42" t="str">
        <x:v>合同是否结单</x:v>
      </x:c>
      <x:c r="H18" s="42" t="str">
        <x:v>状态/分类</x:v>
      </x:c>
      <x:c r="I18" s="42" t="str">
        <x:v>直接支持</x:v>
      </x:c>
      <x:c r="J18" s="42" t="str">
        <x:v>queryContractFinanceData / 合同明细</x:v>
      </x:c>
      <x:c r="K18" s="42" t="str">
        <x:v>finishStatus</x:v>
      </x:c>
      <x:c r="L18" s="42" t="str">
        <x:v>直接使用MCP。</x:v>
      </x:c>
      <x:c r="M18" s="42" t="str"/>
      <x:c r="N18" s="42" t="str">
        <x:v>普通</x:v>
      </x:c>
      <x:c r="O18" s="42" t="str">
        <x:v>否</x:v>
      </x:c>
    </x:row>
    <x:row r="19">
      <x:c r="A19" s="42" t="n">
        <x:v>15</x:v>
      </x:c>
      <x:c r="B19" s="42" t="str">
        <x:v>合同信息导出</x:v>
      </x:c>
      <x:c r="C19" s="42" t="str">
        <x:v>合同信息</x:v>
      </x:c>
      <x:c r="D19" s="42" t="str">
        <x:v>结佣状态</x:v>
      </x:c>
      <x:c r="E19" s="42" t="str"/>
      <x:c r="F19" s="42" t="str">
        <x:v>结佣状态</x:v>
      </x:c>
      <x:c r="G19" s="42" t="str">
        <x:v>合同是否结佣</x:v>
      </x:c>
      <x:c r="H19" s="42" t="str">
        <x:v>状态/分类</x:v>
      </x:c>
      <x:c r="I19" s="42" t="str">
        <x:v>直接支持</x:v>
      </x:c>
      <x:c r="J19" s="42" t="str">
        <x:v>queryContractFinanceData / 合同明细</x:v>
      </x:c>
      <x:c r="K19" s="42" t="str">
        <x:v>status</x:v>
      </x:c>
      <x:c r="L19" s="42" t="str">
        <x:v>直接使用MCP。</x:v>
      </x:c>
      <x:c r="M19" s="42" t="str"/>
      <x:c r="N19" s="42" t="str">
        <x:v>普通</x:v>
      </x:c>
      <x:c r="O19" s="42" t="str">
        <x:v>否</x:v>
      </x:c>
    </x:row>
    <x:row r="20">
      <x:c r="A20" s="42" t="n">
        <x:v>16</x:v>
      </x:c>
      <x:c r="B20" s="42" t="str">
        <x:v>合同信息导出</x:v>
      </x:c>
      <x:c r="C20" s="42" t="str">
        <x:v>合同信息</x:v>
      </x:c>
      <x:c r="D20" s="42" t="str">
        <x:v>业绩分配</x:v>
      </x:c>
      <x:c r="E20" s="42" t="str"/>
      <x:c r="F20" s="42" t="str">
        <x:v>业绩分配状态</x:v>
      </x:c>
      <x:c r="G20" s="42" t="str">
        <x:v>合同是否完成业绩分配</x:v>
      </x:c>
      <x:c r="H20" s="42" t="str">
        <x:v>状态/分类</x:v>
      </x:c>
      <x:c r="I20" s="42" t="str">
        <x:v>直接支持</x:v>
      </x:c>
      <x:c r="J20" s="42" t="str">
        <x:v>queryContractFinanceData / 合同明细</x:v>
      </x:c>
      <x:c r="K20" s="42" t="str">
        <x:v>assignStatus</x:v>
      </x:c>
      <x:c r="L20" s="42" t="str">
        <x:v>直接使用MCP。</x:v>
      </x:c>
      <x:c r="M20" s="42" t="str"/>
      <x:c r="N20" s="42" t="str">
        <x:v>普通</x:v>
      </x:c>
      <x:c r="O20" s="42" t="str">
        <x:v>否</x:v>
      </x:c>
    </x:row>
    <x:row r="21">
      <x:c r="A21" s="42" t="n">
        <x:v>17</x:v>
      </x:c>
      <x:c r="B21" s="42" t="str">
        <x:v>合同信息导出</x:v>
      </x:c>
      <x:c r="C21" s="42" t="str">
        <x:v>合同信息</x:v>
      </x:c>
      <x:c r="D21" s="42" t="str">
        <x:v>产权地址</x:v>
      </x:c>
      <x:c r="E21" s="42" t="str"/>
      <x:c r="F21" s="42" t="str">
        <x:v>产权地址</x:v>
      </x:c>
      <x:c r="G21" s="42" t="str">
        <x:v>房屋完整产权地址</x:v>
      </x:c>
      <x:c r="H21" s="42" t="str">
        <x:v>房屋信息</x:v>
      </x:c>
      <x:c r="I21" s="42" t="str">
        <x:v>直接支持</x:v>
      </x:c>
      <x:c r="J21" s="42" t="str">
        <x:v>queryContractFinanceData / 合同明细</x:v>
      </x:c>
      <x:c r="K21" s="42" t="str">
        <x:v>address</x:v>
      </x:c>
      <x:c r="L21" s="42" t="str">
        <x:v>直接使用MCP，输出时建议脱敏到小区/楼栋级。</x:v>
      </x:c>
      <x:c r="M21" s="42" t="str"/>
      <x:c r="N21" s="42" t="str">
        <x:v>高敏</x:v>
      </x:c>
      <x:c r="O21" s="42" t="str">
        <x:v>否</x:v>
      </x:c>
    </x:row>
    <x:row r="22">
      <x:c r="A22" s="42" t="n">
        <x:v>18</x:v>
      </x:c>
      <x:c r="B22" s="42" t="str">
        <x:v>合同信息导出</x:v>
      </x:c>
      <x:c r="C22" s="42" t="str">
        <x:v>合同信息</x:v>
      </x:c>
      <x:c r="D22" s="42" t="str">
        <x:v>小区名称</x:v>
      </x:c>
      <x:c r="E22" s="42" t="str"/>
      <x:c r="F22" s="42" t="str">
        <x:v>小区名称</x:v>
      </x:c>
      <x:c r="G22" s="42" t="str">
        <x:v>合同房屋所属小区或楼盘</x:v>
      </x:c>
      <x:c r="H22" s="42" t="str">
        <x:v>房屋信息</x:v>
      </x:c>
      <x:c r="I22" s="42" t="str">
        <x:v>直接支持</x:v>
      </x:c>
      <x:c r="J22" s="42" t="str">
        <x:v>queryContractFinanceData / 合同明细</x:v>
      </x:c>
      <x:c r="K22" s="42" t="str">
        <x:v>section</x:v>
      </x:c>
      <x:c r="L22" s="42" t="str">
        <x:v>直接使用MCP。</x:v>
      </x:c>
      <x:c r="M22" s="42" t="str"/>
      <x:c r="N22" s="42" t="str">
        <x:v>普通</x:v>
      </x:c>
      <x:c r="O22" s="42" t="str">
        <x:v>否</x:v>
      </x:c>
    </x:row>
    <x:row r="23">
      <x:c r="A23" s="42" t="n">
        <x:v>19</x:v>
      </x:c>
      <x:c r="B23" s="42" t="str">
        <x:v>合同信息导出</x:v>
      </x:c>
      <x:c r="C23" s="42" t="str">
        <x:v>合同信息</x:v>
      </x:c>
      <x:c r="D23" s="42" t="str">
        <x:v>门牌号</x:v>
      </x:c>
      <x:c r="E23" s="42" t="str"/>
      <x:c r="F23" s="42" t="str">
        <x:v>门牌号</x:v>
      </x:c>
      <x:c r="G23" s="42" t="str">
        <x:v>楼栋、单元、房号</x:v>
      </x:c>
      <x:c r="H23" s="42" t="str">
        <x:v>房屋信息</x:v>
      </x:c>
      <x:c r="I23" s="42" t="str">
        <x:v>直接支持</x:v>
      </x:c>
      <x:c r="J23" s="42" t="str">
        <x:v>queryContractFinanceData / 合同明细</x:v>
      </x:c>
      <x:c r="K23" s="42" t="str">
        <x:v>doorNo</x:v>
      </x:c>
      <x:c r="L23" s="42" t="str">
        <x:v>直接使用MCP，公开输出时脱敏。</x:v>
      </x:c>
      <x:c r="M23" s="42" t="str"/>
      <x:c r="N23" s="42" t="str">
        <x:v>高敏</x:v>
      </x:c>
      <x:c r="O23" s="42" t="str">
        <x:v>否</x:v>
      </x:c>
    </x:row>
    <x:row r="24">
      <x:c r="A24" s="42" t="n">
        <x:v>20</x:v>
      </x:c>
      <x:c r="B24" s="42" t="str">
        <x:v>合同信息导出</x:v>
      </x:c>
      <x:c r="C24" s="42" t="str">
        <x:v>合同信息</x:v>
      </x:c>
      <x:c r="D24" s="42" t="str">
        <x:v>产权面积</x:v>
      </x:c>
      <x:c r="E24" s="42" t="str"/>
      <x:c r="F24" s="42" t="str">
        <x:v>产权面积</x:v>
      </x:c>
      <x:c r="G24" s="42" t="str">
        <x:v>产权登记面积数值</x:v>
      </x:c>
      <x:c r="H24" s="42" t="str">
        <x:v>房屋信息</x:v>
      </x:c>
      <x:c r="I24" s="42" t="str">
        <x:v>直接支持</x:v>
      </x:c>
      <x:c r="J24" s="42" t="str">
        <x:v>queryContractFinanceData / 合同明细</x:v>
      </x:c>
      <x:c r="K24" s="42" t="str">
        <x:v>area</x:v>
      </x:c>
      <x:c r="L24" s="42" t="str">
        <x:v>直接使用MCP。</x:v>
      </x:c>
      <x:c r="M24" s="42" t="str">
        <x:v>与“面积”文本字段并存。</x:v>
      </x:c>
      <x:c r="N24" s="42" t="str">
        <x:v>普通</x:v>
      </x:c>
      <x:c r="O24" s="42" t="str">
        <x:v>否</x:v>
      </x:c>
    </x:row>
    <x:row r="25">
      <x:c r="A25" s="42" t="n">
        <x:v>21</x:v>
      </x:c>
      <x:c r="B25" s="42" t="str">
        <x:v>合同信息导出</x:v>
      </x:c>
      <x:c r="C25" s="42" t="str">
        <x:v>合同信息</x:v>
      </x:c>
      <x:c r="D25" s="42" t="str">
        <x:v>用途</x:v>
      </x:c>
      <x:c r="E25" s="42" t="str"/>
      <x:c r="F25" s="42" t="str">
        <x:v>房屋用途</x:v>
      </x:c>
      <x:c r="G25" s="42" t="str">
        <x:v>住宅、商铺等用途</x:v>
      </x:c>
      <x:c r="H25" s="42" t="str">
        <x:v>房屋信息</x:v>
      </x:c>
      <x:c r="I25" s="42" t="str">
        <x:v>直接支持</x:v>
      </x:c>
      <x:c r="J25" s="42" t="str">
        <x:v>queryContractFinanceData / 合同明细</x:v>
      </x:c>
      <x:c r="K25" s="42" t="str">
        <x:v>houseType</x:v>
      </x:c>
      <x:c r="L25" s="42" t="str">
        <x:v>直接使用MCP。</x:v>
      </x:c>
      <x:c r="M25" s="42" t="str"/>
      <x:c r="N25" s="42" t="str">
        <x:v>普通</x:v>
      </x:c>
      <x:c r="O25" s="42" t="str">
        <x:v>否</x:v>
      </x:c>
    </x:row>
    <x:row r="26">
      <x:c r="A26" s="42" t="n">
        <x:v>22</x:v>
      </x:c>
      <x:c r="B26" s="42" t="str">
        <x:v>合同信息导出</x:v>
      </x:c>
      <x:c r="C26" s="42" t="str">
        <x:v>合同信息</x:v>
      </x:c>
      <x:c r="D26" s="42" t="str">
        <x:v>卖方/房东</x:v>
      </x:c>
      <x:c r="E26" s="42" t="str">
        <x:v>卖方/房东</x:v>
      </x:c>
      <x:c r="F26" s="42" t="str">
        <x:v>业主姓名</x:v>
      </x:c>
      <x:c r="G26" s="42" t="str">
        <x:v>卖方或房东姓名</x:v>
      </x:c>
      <x:c r="H26" s="42" t="str">
        <x:v>人员</x:v>
      </x:c>
      <x:c r="I26" s="42" t="str">
        <x:v>直接支持</x:v>
      </x:c>
      <x:c r="J26" s="42" t="str">
        <x:v>queryContractFinanceData / 合同明细</x:v>
      </x:c>
      <x:c r="K26" s="42" t="str">
        <x:v>ownerName</x:v>
      </x:c>
      <x:c r="L26" s="42" t="str">
        <x:v>直接使用MCP，默认脱敏。</x:v>
      </x:c>
      <x:c r="M26" s="42" t="str"/>
      <x:c r="N26" s="42" t="str">
        <x:v>高敏</x:v>
      </x:c>
      <x:c r="O26" s="42" t="str">
        <x:v>否</x:v>
      </x:c>
    </x:row>
    <x:row r="27">
      <x:c r="A27" s="42" t="n">
        <x:v>23</x:v>
      </x:c>
      <x:c r="B27" s="42" t="str">
        <x:v>合同信息导出</x:v>
      </x:c>
      <x:c r="C27" s="42" t="str">
        <x:v>合同信息</x:v>
      </x:c>
      <x:c r="D27" s="42" t="str">
        <x:v>身份证</x:v>
      </x:c>
      <x:c r="E27" s="42" t="str">
        <x:v>卖方/房东</x:v>
      </x:c>
      <x:c r="F27" s="42" t="str">
        <x:v>业主证件号</x:v>
      </x:c>
      <x:c r="G27" s="42" t="str">
        <x:v>卖方或房东证件号码</x:v>
      </x:c>
      <x:c r="H27" s="42" t="str">
        <x:v>人员敏感信息</x:v>
      </x:c>
      <x:c r="I27" s="42" t="str">
        <x:v>直接支持</x:v>
      </x:c>
      <x:c r="J27" s="42" t="str">
        <x:v>queryContractFinanceData / 合同明细</x:v>
      </x:c>
      <x:c r="K27" s="42" t="str">
        <x:v>ownerCertNo</x:v>
      </x:c>
      <x:c r="L27" s="42" t="str">
        <x:v>仅在明确必要时读取，默认脱敏。</x:v>
      </x:c>
      <x:c r="M27" s="42" t="str"/>
      <x:c r="N27" s="42" t="str">
        <x:v>高敏</x:v>
      </x:c>
      <x:c r="O27" s="42" t="str">
        <x:v>否</x:v>
      </x:c>
    </x:row>
    <x:row r="28">
      <x:c r="A28" s="42" t="n">
        <x:v>24</x:v>
      </x:c>
      <x:c r="B28" s="42" t="str">
        <x:v>合同信息导出</x:v>
      </x:c>
      <x:c r="C28" s="42" t="str">
        <x:v>合同信息</x:v>
      </x:c>
      <x:c r="D28" s="42" t="str">
        <x:v>录入时间</x:v>
      </x:c>
      <x:c r="E28" s="42" t="str">
        <x:v>卖方/房东</x:v>
      </x:c>
      <x:c r="F28" s="42" t="str">
        <x:v>房源录入时间</x:v>
      </x:c>
      <x:c r="G28" s="42" t="str">
        <x:v>对应房源进入系统的时间</x:v>
      </x:c>
      <x:c r="H28" s="42" t="str">
        <x:v>日期</x:v>
      </x:c>
      <x:c r="I28" s="42" t="str">
        <x:v>直接支持</x:v>
      </x:c>
      <x:c r="J28" s="42" t="str">
        <x:v>queryContractFinanceData / 合同明细</x:v>
      </x:c>
      <x:c r="K28" s="42" t="str">
        <x:v>houseCreateTime</x:v>
      </x:c>
      <x:c r="L28" s="42" t="str">
        <x:v>直接使用MCP。</x:v>
      </x:c>
      <x:c r="M28" s="42" t="str"/>
      <x:c r="N28" s="42" t="str">
        <x:v>普通</x:v>
      </x:c>
      <x:c r="O28" s="42" t="str">
        <x:v>否</x:v>
      </x:c>
    </x:row>
    <x:row r="29">
      <x:c r="A29" s="42" t="n">
        <x:v>25</x:v>
      </x:c>
      <x:c r="B29" s="42" t="str">
        <x:v>合同信息导出</x:v>
      </x:c>
      <x:c r="C29" s="42" t="str">
        <x:v>合同信息</x:v>
      </x:c>
      <x:c r="D29" s="42" t="str">
        <x:v>带看次数</x:v>
      </x:c>
      <x:c r="E29" s="42" t="str">
        <x:v>卖方/房东</x:v>
      </x:c>
      <x:c r="F29" s="42" t="str">
        <x:v>房源带看次数</x:v>
      </x:c>
      <x:c r="G29" s="42" t="str">
        <x:v>成交前该房源累计带看次数</x:v>
      </x:c>
      <x:c r="H29" s="42" t="str">
        <x:v>业务过程</x:v>
      </x:c>
      <x:c r="I29" s="42" t="str">
        <x:v>不支持</x:v>
      </x:c>
      <x:c r="J29" s="42" t="str"/>
      <x:c r="K29" s="42" t="str"/>
      <x:c r="L29" s="42" t="str">
        <x:v>需要客户导出合同信息表。</x:v>
      </x:c>
      <x:c r="M29" s="42" t="str">
        <x:v>MCP合同明细仅明确返回客户带看次数，未暴露房源侧带看次数。</x:v>
      </x:c>
      <x:c r="N29" s="42" t="str">
        <x:v>普通</x:v>
      </x:c>
      <x:c r="O29" s="42" t="str">
        <x:v>是</x:v>
      </x:c>
    </x:row>
    <x:row r="30">
      <x:c r="A30" s="42" t="n">
        <x:v>26</x:v>
      </x:c>
      <x:c r="B30" s="42" t="str">
        <x:v>合同信息导出</x:v>
      </x:c>
      <x:c r="C30" s="42" t="str">
        <x:v>合同信息</x:v>
      </x:c>
      <x:c r="D30" s="42" t="str">
        <x:v>户型</x:v>
      </x:c>
      <x:c r="E30" s="42" t="str"/>
      <x:c r="F30" s="42" t="str">
        <x:v>户型</x:v>
      </x:c>
      <x:c r="G30" s="42" t="str">
        <x:v>房屋室厅卫阳台结构</x:v>
      </x:c>
      <x:c r="H30" s="42" t="str">
        <x:v>房屋信息</x:v>
      </x:c>
      <x:c r="I30" s="42" t="str">
        <x:v>直接支持</x:v>
      </x:c>
      <x:c r="J30" s="42" t="str">
        <x:v>queryContractFinanceData / 合同明细</x:v>
      </x:c>
      <x:c r="K30" s="42" t="str">
        <x:v>houseLayout</x:v>
      </x:c>
      <x:c r="L30" s="42" t="str">
        <x:v>直接使用MCP。</x:v>
      </x:c>
      <x:c r="M30" s="42" t="str"/>
      <x:c r="N30" s="42" t="str">
        <x:v>普通</x:v>
      </x:c>
      <x:c r="O30" s="42" t="str">
        <x:v>否</x:v>
      </x:c>
    </x:row>
    <x:row r="31">
      <x:c r="A31" s="42" t="n">
        <x:v>27</x:v>
      </x:c>
      <x:c r="B31" s="42" t="str">
        <x:v>合同信息导出</x:v>
      </x:c>
      <x:c r="C31" s="42" t="str">
        <x:v>合同信息</x:v>
      </x:c>
      <x:c r="D31" s="42" t="str">
        <x:v>面积</x:v>
      </x:c>
      <x:c r="E31" s="42" t="str"/>
      <x:c r="F31" s="42" t="str">
        <x:v>面积文本</x:v>
      </x:c>
      <x:c r="G31" s="42" t="str">
        <x:v>带单位的面积文本</x:v>
      </x:c>
      <x:c r="H31" s="42" t="str">
        <x:v>房屋信息</x:v>
      </x:c>
      <x:c r="I31" s="42" t="str">
        <x:v>直接支持</x:v>
      </x:c>
      <x:c r="J31" s="42" t="str">
        <x:v>queryContractFinanceData / 合同明细</x:v>
      </x:c>
      <x:c r="K31" s="42" t="str">
        <x:v>houseArea</x:v>
      </x:c>
      <x:c r="L31" s="42" t="str">
        <x:v>直接使用MCP。</x:v>
      </x:c>
      <x:c r="M31" s="42" t="str">
        <x:v>与产权面积数值字段并存。</x:v>
      </x:c>
      <x:c r="N31" s="42" t="str">
        <x:v>普通</x:v>
      </x:c>
      <x:c r="O31" s="42" t="str">
        <x:v>否</x:v>
      </x:c>
    </x:row>
    <x:row r="32">
      <x:c r="A32" s="42" t="n">
        <x:v>28</x:v>
      </x:c>
      <x:c r="B32" s="42" t="str">
        <x:v>合同信息导出</x:v>
      </x:c>
      <x:c r="C32" s="42" t="str">
        <x:v>合同信息</x:v>
      </x:c>
      <x:c r="D32" s="42" t="str">
        <x:v>楼层</x:v>
      </x:c>
      <x:c r="E32" s="42" t="str"/>
      <x:c r="F32" s="42" t="str">
        <x:v>楼层</x:v>
      </x:c>
      <x:c r="G32" s="42" t="str">
        <x:v>房屋所在楼层</x:v>
      </x:c>
      <x:c r="H32" s="42" t="str">
        <x:v>房屋信息</x:v>
      </x:c>
      <x:c r="I32" s="42" t="str">
        <x:v>直接支持</x:v>
      </x:c>
      <x:c r="J32" s="42" t="str">
        <x:v>queryContractFinanceData / 合同明细</x:v>
      </x:c>
      <x:c r="K32" s="42" t="str">
        <x:v>houseFloor</x:v>
      </x:c>
      <x:c r="L32" s="42" t="str">
        <x:v>直接使用MCP。</x:v>
      </x:c>
      <x:c r="M32" s="42" t="str"/>
      <x:c r="N32" s="42" t="str">
        <x:v>普通</x:v>
      </x:c>
      <x:c r="O32" s="42" t="str">
        <x:v>否</x:v>
      </x:c>
    </x:row>
    <x:row r="33">
      <x:c r="A33" s="42" t="n">
        <x:v>29</x:v>
      </x:c>
      <x:c r="B33" s="42" t="str">
        <x:v>合同信息导出</x:v>
      </x:c>
      <x:c r="C33" s="42" t="str">
        <x:v>合同信息</x:v>
      </x:c>
      <x:c r="D33" s="42" t="str">
        <x:v>装修</x:v>
      </x:c>
      <x:c r="E33" s="42" t="str"/>
      <x:c r="F33" s="42" t="str">
        <x:v>装修</x:v>
      </x:c>
      <x:c r="G33" s="42" t="str">
        <x:v>房屋装修情况</x:v>
      </x:c>
      <x:c r="H33" s="42" t="str">
        <x:v>房屋信息</x:v>
      </x:c>
      <x:c r="I33" s="42" t="str">
        <x:v>直接支持</x:v>
      </x:c>
      <x:c r="J33" s="42" t="str">
        <x:v>queryContractFinanceData / 合同明细</x:v>
      </x:c>
      <x:c r="K33" s="42" t="str">
        <x:v>houseDecoration</x:v>
      </x:c>
      <x:c r="L33" s="42" t="str">
        <x:v>直接使用MCP。</x:v>
      </x:c>
      <x:c r="M33" s="42" t="str"/>
      <x:c r="N33" s="42" t="str">
        <x:v>普通</x:v>
      </x:c>
      <x:c r="O33" s="42" t="str">
        <x:v>否</x:v>
      </x:c>
    </x:row>
    <x:row r="34">
      <x:c r="A34" s="42" t="n">
        <x:v>30</x:v>
      </x:c>
      <x:c r="B34" s="42" t="str">
        <x:v>合同信息导出</x:v>
      </x:c>
      <x:c r="C34" s="42" t="str">
        <x:v>合同信息</x:v>
      </x:c>
      <x:c r="D34" s="42" t="str">
        <x:v>成交周期</x:v>
      </x:c>
      <x:c r="E34" s="42" t="str">
        <x:v>卖方/房东</x:v>
      </x:c>
      <x:c r="F34" s="42" t="str">
        <x:v>房源成交周期</x:v>
      </x:c>
      <x:c r="G34" s="42" t="str">
        <x:v>从房源录入到成交的周期</x:v>
      </x:c>
      <x:c r="H34" s="42" t="str">
        <x:v>业务过程</x:v>
      </x:c>
      <x:c r="I34" s="42" t="str">
        <x:v>直接支持</x:v>
      </x:c>
      <x:c r="J34" s="42" t="str">
        <x:v>queryContractFinanceData / 合同明细</x:v>
      </x:c>
      <x:c r="K34" s="42" t="str">
        <x:v>houseDealPeriod</x:v>
      </x:c>
      <x:c r="L34" s="42" t="str">
        <x:v>直接使用MCP。</x:v>
      </x:c>
      <x:c r="M34" s="42" t="str"/>
      <x:c r="N34" s="42" t="str">
        <x:v>普通</x:v>
      </x:c>
      <x:c r="O34" s="42" t="str">
        <x:v>否</x:v>
      </x:c>
    </x:row>
    <x:row r="35">
      <x:c r="A35" s="42" t="n">
        <x:v>31</x:v>
      </x:c>
      <x:c r="B35" s="42" t="str">
        <x:v>合同信息导出</x:v>
      </x:c>
      <x:c r="C35" s="42" t="str">
        <x:v>合同信息</x:v>
      </x:c>
      <x:c r="D35" s="42" t="str">
        <x:v>卖方/房东
经纪人</x:v>
      </x:c>
      <x:c r="E35" s="42" t="str">
        <x:v>卖方/房东</x:v>
      </x:c>
      <x:c r="F35" s="42" t="str">
        <x:v>房源方经纪人</x:v>
      </x:c>
      <x:c r="G35" s="42" t="str">
        <x:v>负责房源侧的经纪人</x:v>
      </x:c>
      <x:c r="H35" s="42" t="str">
        <x:v>人员</x:v>
      </x:c>
      <x:c r="I35" s="42" t="str">
        <x:v>直接支持</x:v>
      </x:c>
      <x:c r="J35" s="42" t="str">
        <x:v>queryContractFinanceData / 合同明细</x:v>
      </x:c>
      <x:c r="K35" s="42" t="str">
        <x:v>houseUserName</x:v>
      </x:c>
      <x:c r="L35" s="42" t="str">
        <x:v>直接使用MCP。</x:v>
      </x:c>
      <x:c r="M35" s="42" t="str">
        <x:v>若需组织层级仍需人员信息导出。</x:v>
      </x:c>
      <x:c r="N35" s="42" t="str">
        <x:v>中敏</x:v>
      </x:c>
      <x:c r="O35" s="42" t="str">
        <x:v>否</x:v>
      </x:c>
    </x:row>
    <x:row r="36">
      <x:c r="A36" s="42" t="n">
        <x:v>32</x:v>
      </x:c>
      <x:c r="B36" s="42" t="str">
        <x:v>合同信息导出</x:v>
      </x:c>
      <x:c r="C36" s="42" t="str">
        <x:v>合同信息</x:v>
      </x:c>
      <x:c r="D36" s="42" t="str">
        <x:v>卖方/房东
职能</x:v>
      </x:c>
      <x:c r="E36" s="42" t="str">
        <x:v>卖方/房东</x:v>
      </x:c>
      <x:c r="F36" s="42" t="str">
        <x:v>房源方职能</x:v>
      </x:c>
      <x:c r="G36" s="42" t="str">
        <x:v>房源方经纪人的职能</x:v>
      </x:c>
      <x:c r="H36" s="42" t="str">
        <x:v>组织/人事</x:v>
      </x:c>
      <x:c r="I36" s="42" t="str">
        <x:v>不支持</x:v>
      </x:c>
      <x:c r="J36" s="42" t="str"/>
      <x:c r="K36" s="42" t="str"/>
      <x:c r="L36" s="42" t="str">
        <x:v>需要合同信息或人员信息导出。</x:v>
      </x:c>
      <x:c r="M36" s="42" t="str">
        <x:v>MCP未提供经纪人职能字段。</x:v>
      </x:c>
      <x:c r="N36" s="42" t="str">
        <x:v>中敏</x:v>
      </x:c>
      <x:c r="O36" s="42" t="str">
        <x:v>是</x:v>
      </x:c>
    </x:row>
    <x:row r="37">
      <x:c r="A37" s="42" t="n">
        <x:v>33</x:v>
      </x:c>
      <x:c r="B37" s="42" t="str">
        <x:v>合同信息导出</x:v>
      </x:c>
      <x:c r="C37" s="42" t="str">
        <x:v>合同信息</x:v>
      </x:c>
      <x:c r="D37" s="42" t="str">
        <x:v>卖方/房东
分组</x:v>
      </x:c>
      <x:c r="E37" s="42" t="str">
        <x:v>卖方/房东</x:v>
      </x:c>
      <x:c r="F37" s="42" t="str">
        <x:v>房源方分组</x:v>
      </x:c>
      <x:c r="G37" s="42" t="str">
        <x:v>房源方经纪人所属分组</x:v>
      </x:c>
      <x:c r="H37" s="42" t="str">
        <x:v>组织/人事</x:v>
      </x:c>
      <x:c r="I37" s="42" t="str">
        <x:v>不支持</x:v>
      </x:c>
      <x:c r="J37" s="42" t="str"/>
      <x:c r="K37" s="42" t="str"/>
      <x:c r="L37" s="42" t="str">
        <x:v>需要合同信息导出。</x:v>
      </x:c>
      <x:c r="M37" s="42" t="str">
        <x:v>不能由通用deptName稳定拆分。</x:v>
      </x:c>
      <x:c r="N37" s="42" t="str">
        <x:v>普通</x:v>
      </x:c>
      <x:c r="O37" s="42" t="str">
        <x:v>是</x:v>
      </x:c>
    </x:row>
    <x:row r="38">
      <x:c r="A38" s="42" t="n">
        <x:v>34</x:v>
      </x:c>
      <x:c r="B38" s="42" t="str">
        <x:v>合同信息导出</x:v>
      </x:c>
      <x:c r="C38" s="42" t="str">
        <x:v>合同信息</x:v>
      </x:c>
      <x:c r="D38" s="42" t="str">
        <x:v>卖方/房东
门店</x:v>
      </x:c>
      <x:c r="E38" s="42" t="str">
        <x:v>卖方/房东</x:v>
      </x:c>
      <x:c r="F38" s="42" t="str">
        <x:v>房源方门店</x:v>
      </x:c>
      <x:c r="G38" s="42" t="str">
        <x:v>房源方经纪人所属门店</x:v>
      </x:c>
      <x:c r="H38" s="42" t="str">
        <x:v>组织/人事</x:v>
      </x:c>
      <x:c r="I38" s="42" t="str">
        <x:v>不支持</x:v>
      </x:c>
      <x:c r="J38" s="42" t="str"/>
      <x:c r="K38" s="42" t="str"/>
      <x:c r="L38" s="42" t="str">
        <x:v>需要合同信息导出。</x:v>
      </x:c>
      <x:c r="M38" s="42" t="str">
        <x:v>MCP只返回房源方经纪人，不返回其组织层级。</x:v>
      </x:c>
      <x:c r="N38" s="42" t="str">
        <x:v>普通</x:v>
      </x:c>
      <x:c r="O38" s="42" t="str">
        <x:v>是</x:v>
      </x:c>
    </x:row>
    <x:row r="39">
      <x:c r="A39" s="42" t="n">
        <x:v>35</x:v>
      </x:c>
      <x:c r="B39" s="42" t="str">
        <x:v>合同信息导出</x:v>
      </x:c>
      <x:c r="C39" s="42" t="str">
        <x:v>合同信息</x:v>
      </x:c>
      <x:c r="D39" s="42" t="str">
        <x:v>卖方/房东
片区</x:v>
      </x:c>
      <x:c r="E39" s="42" t="str">
        <x:v>卖方/房东</x:v>
      </x:c>
      <x:c r="F39" s="42" t="str">
        <x:v>房源方片区</x:v>
      </x:c>
      <x:c r="G39" s="42" t="str">
        <x:v>房源方经纪人所属片区</x:v>
      </x:c>
      <x:c r="H39" s="42" t="str">
        <x:v>组织/人事</x:v>
      </x:c>
      <x:c r="I39" s="42" t="str">
        <x:v>不支持</x:v>
      </x:c>
      <x:c r="J39" s="42" t="str"/>
      <x:c r="K39" s="42" t="str"/>
      <x:c r="L39" s="42" t="str">
        <x:v>需要合同信息导出或人员信息映射。</x:v>
      </x:c>
      <x:c r="M39" s="42" t="str"/>
      <x:c r="N39" s="42" t="str">
        <x:v>普通</x:v>
      </x:c>
      <x:c r="O39" s="42" t="str">
        <x:v>是</x:v>
      </x:c>
    </x:row>
    <x:row r="40">
      <x:c r="A40" s="42" t="n">
        <x:v>36</x:v>
      </x:c>
      <x:c r="B40" s="42" t="str">
        <x:v>合同信息导出</x:v>
      </x:c>
      <x:c r="C40" s="42" t="str">
        <x:v>合同信息</x:v>
      </x:c>
      <x:c r="D40" s="42" t="str">
        <x:v>卖方/房东
大区</x:v>
      </x:c>
      <x:c r="E40" s="42" t="str">
        <x:v>卖方/房东</x:v>
      </x:c>
      <x:c r="F40" s="42" t="str">
        <x:v>房源方大区</x:v>
      </x:c>
      <x:c r="G40" s="42" t="str">
        <x:v>房源方经纪人所属大区</x:v>
      </x:c>
      <x:c r="H40" s="42" t="str">
        <x:v>组织/人事</x:v>
      </x:c>
      <x:c r="I40" s="42" t="str">
        <x:v>不支持</x:v>
      </x:c>
      <x:c r="J40" s="42" t="str"/>
      <x:c r="K40" s="42" t="str"/>
      <x:c r="L40" s="42" t="str">
        <x:v>需要合同信息导出或人员信息映射。</x:v>
      </x:c>
      <x:c r="M40" s="42" t="str"/>
      <x:c r="N40" s="42" t="str">
        <x:v>普通</x:v>
      </x:c>
      <x:c r="O40" s="42" t="str">
        <x:v>是</x:v>
      </x:c>
    </x:row>
    <x:row r="41">
      <x:c r="A41" s="42" t="n">
        <x:v>37</x:v>
      </x:c>
      <x:c r="B41" s="42" t="str">
        <x:v>合同信息导出</x:v>
      </x:c>
      <x:c r="C41" s="42" t="str">
        <x:v>合同信息</x:v>
      </x:c>
      <x:c r="D41" s="42" t="str">
        <x:v>卖方/房东
运营</x:v>
      </x:c>
      <x:c r="E41" s="42" t="str">
        <x:v>卖方/房东</x:v>
      </x:c>
      <x:c r="F41" s="42" t="str">
        <x:v>房源方运营</x:v>
      </x:c>
      <x:c r="G41" s="42" t="str">
        <x:v>房源方经纪人所属运营层级</x:v>
      </x:c>
      <x:c r="H41" s="42" t="str">
        <x:v>组织/人事</x:v>
      </x:c>
      <x:c r="I41" s="42" t="str">
        <x:v>不支持</x:v>
      </x:c>
      <x:c r="J41" s="42" t="str"/>
      <x:c r="K41" s="42" t="str"/>
      <x:c r="L41" s="42" t="str">
        <x:v>需要合同信息导出或人员信息映射。</x:v>
      </x:c>
      <x:c r="M41" s="42" t="str"/>
      <x:c r="N41" s="42" t="str">
        <x:v>普通</x:v>
      </x:c>
      <x:c r="O41" s="42" t="str">
        <x:v>是</x:v>
      </x:c>
    </x:row>
    <x:row r="42">
      <x:c r="A42" s="42" t="n">
        <x:v>38</x:v>
      </x:c>
      <x:c r="B42" s="42" t="str">
        <x:v>合同信息导出</x:v>
      </x:c>
      <x:c r="C42" s="42" t="str">
        <x:v>合同信息</x:v>
      </x:c>
      <x:c r="D42" s="42" t="str">
        <x:v>买方/租客</x:v>
      </x:c>
      <x:c r="E42" s="42" t="str">
        <x:v>买方/租客</x:v>
      </x:c>
      <x:c r="F42" s="42" t="str">
        <x:v>客户姓名</x:v>
      </x:c>
      <x:c r="G42" s="42" t="str">
        <x:v>买方或租客姓名</x:v>
      </x:c>
      <x:c r="H42" s="42" t="str">
        <x:v>人员</x:v>
      </x:c>
      <x:c r="I42" s="42" t="str">
        <x:v>直接支持</x:v>
      </x:c>
      <x:c r="J42" s="42" t="str">
        <x:v>queryContractFinanceData / 合同明细</x:v>
      </x:c>
      <x:c r="K42" s="42" t="str">
        <x:v>custName</x:v>
      </x:c>
      <x:c r="L42" s="42" t="str">
        <x:v>直接使用MCP，默认脱敏。</x:v>
      </x:c>
      <x:c r="M42" s="42" t="str"/>
      <x:c r="N42" s="42" t="str">
        <x:v>高敏</x:v>
      </x:c>
      <x:c r="O42" s="42" t="str">
        <x:v>否</x:v>
      </x:c>
    </x:row>
    <x:row r="43">
      <x:c r="A43" s="42" t="n">
        <x:v>39</x:v>
      </x:c>
      <x:c r="B43" s="42" t="str">
        <x:v>合同信息导出</x:v>
      </x:c>
      <x:c r="C43" s="42" t="str">
        <x:v>合同信息</x:v>
      </x:c>
      <x:c r="D43" s="42" t="str">
        <x:v>身份证</x:v>
      </x:c>
      <x:c r="E43" s="42" t="str">
        <x:v>买方/租客</x:v>
      </x:c>
      <x:c r="F43" s="42" t="str">
        <x:v>客户证件号</x:v>
      </x:c>
      <x:c r="G43" s="42" t="str">
        <x:v>买方或租客证件号码</x:v>
      </x:c>
      <x:c r="H43" s="42" t="str">
        <x:v>人员敏感信息</x:v>
      </x:c>
      <x:c r="I43" s="42" t="str">
        <x:v>直接支持</x:v>
      </x:c>
      <x:c r="J43" s="42" t="str">
        <x:v>queryContractFinanceData / 合同明细</x:v>
      </x:c>
      <x:c r="K43" s="42" t="str">
        <x:v>custCertNo</x:v>
      </x:c>
      <x:c r="L43" s="42" t="str">
        <x:v>仅在明确必要时读取，默认脱敏。</x:v>
      </x:c>
      <x:c r="M43" s="42" t="str"/>
      <x:c r="N43" s="42" t="str">
        <x:v>高敏</x:v>
      </x:c>
      <x:c r="O43" s="42" t="str">
        <x:v>否</x:v>
      </x:c>
    </x:row>
    <x:row r="44">
      <x:c r="A44" s="42" t="n">
        <x:v>40</x:v>
      </x:c>
      <x:c r="B44" s="42" t="str">
        <x:v>合同信息导出</x:v>
      </x:c>
      <x:c r="C44" s="42" t="str">
        <x:v>合同信息</x:v>
      </x:c>
      <x:c r="D44" s="42" t="str">
        <x:v>录入时间</x:v>
      </x:c>
      <x:c r="E44" s="42" t="str">
        <x:v>买方/租客</x:v>
      </x:c>
      <x:c r="F44" s="42" t="str">
        <x:v>客源录入时间</x:v>
      </x:c>
      <x:c r="G44" s="42" t="str">
        <x:v>对应客源进入系统的时间</x:v>
      </x:c>
      <x:c r="H44" s="42" t="str">
        <x:v>日期</x:v>
      </x:c>
      <x:c r="I44" s="42" t="str">
        <x:v>直接支持</x:v>
      </x:c>
      <x:c r="J44" s="42" t="str">
        <x:v>queryContractFinanceData / 合同明细</x:v>
      </x:c>
      <x:c r="K44" s="42" t="str">
        <x:v>custCreateTime</x:v>
      </x:c>
      <x:c r="L44" s="42" t="str">
        <x:v>直接使用MCP。</x:v>
      </x:c>
      <x:c r="M44" s="42" t="str"/>
      <x:c r="N44" s="42" t="str">
        <x:v>普通</x:v>
      </x:c>
      <x:c r="O44" s="42" t="str">
        <x:v>否</x:v>
      </x:c>
    </x:row>
    <x:row r="45">
      <x:c r="A45" s="42" t="n">
        <x:v>41</x:v>
      </x:c>
      <x:c r="B45" s="42" t="str">
        <x:v>合同信息导出</x:v>
      </x:c>
      <x:c r="C45" s="42" t="str">
        <x:v>合同信息</x:v>
      </x:c>
      <x:c r="D45" s="42" t="str">
        <x:v>带看次数</x:v>
      </x:c>
      <x:c r="E45" s="42" t="str">
        <x:v>买方/租客</x:v>
      </x:c>
      <x:c r="F45" s="42" t="str">
        <x:v>客户带看次数</x:v>
      </x:c>
      <x:c r="G45" s="42" t="str">
        <x:v>成交前客户累计带看次数</x:v>
      </x:c>
      <x:c r="H45" s="42" t="str">
        <x:v>业务过程</x:v>
      </x:c>
      <x:c r="I45" s="42" t="str">
        <x:v>直接支持</x:v>
      </x:c>
      <x:c r="J45" s="42" t="str">
        <x:v>queryContractFinanceData / 合同明细</x:v>
      </x:c>
      <x:c r="K45" s="42" t="str">
        <x:v>custLookCount</x:v>
      </x:c>
      <x:c r="L45" s="42" t="str">
        <x:v>直接使用MCP。</x:v>
      </x:c>
      <x:c r="M45" s="42" t="str"/>
      <x:c r="N45" s="42" t="str">
        <x:v>普通</x:v>
      </x:c>
      <x:c r="O45" s="42" t="str">
        <x:v>否</x:v>
      </x:c>
    </x:row>
    <x:row r="46">
      <x:c r="A46" s="42" t="n">
        <x:v>42</x:v>
      </x:c>
      <x:c r="B46" s="42" t="str">
        <x:v>合同信息导出</x:v>
      </x:c>
      <x:c r="C46" s="42" t="str">
        <x:v>合同信息</x:v>
      </x:c>
      <x:c r="D46" s="42" t="str">
        <x:v>成交周期</x:v>
      </x:c>
      <x:c r="E46" s="42" t="str">
        <x:v>买方/租客</x:v>
      </x:c>
      <x:c r="F46" s="42" t="str">
        <x:v>客户成交周期</x:v>
      </x:c>
      <x:c r="G46" s="42" t="str">
        <x:v>从客源录入到成交的周期</x:v>
      </x:c>
      <x:c r="H46" s="42" t="str">
        <x:v>业务过程</x:v>
      </x:c>
      <x:c r="I46" s="42" t="str">
        <x:v>直接支持</x:v>
      </x:c>
      <x:c r="J46" s="42" t="str">
        <x:v>queryContractFinanceData / 合同明细</x:v>
      </x:c>
      <x:c r="K46" s="42" t="str">
        <x:v>custDealPeriod</x:v>
      </x:c>
      <x:c r="L46" s="42" t="str">
        <x:v>直接使用MCP。</x:v>
      </x:c>
      <x:c r="M46" s="42" t="str"/>
      <x:c r="N46" s="42" t="str">
        <x:v>普通</x:v>
      </x:c>
      <x:c r="O46" s="42" t="str">
        <x:v>否</x:v>
      </x:c>
    </x:row>
    <x:row r="47">
      <x:c r="A47" s="42" t="n">
        <x:v>43</x:v>
      </x:c>
      <x:c r="B47" s="42" t="str">
        <x:v>合同信息导出</x:v>
      </x:c>
      <x:c r="C47" s="42" t="str">
        <x:v>合同信息</x:v>
      </x:c>
      <x:c r="D47" s="42" t="str">
        <x:v>买方/租客
经纪人</x:v>
      </x:c>
      <x:c r="E47" s="42" t="str">
        <x:v>买方/租客</x:v>
      </x:c>
      <x:c r="F47" s="42" t="str">
        <x:v>客源方经纪人</x:v>
      </x:c>
      <x:c r="G47" s="42" t="str">
        <x:v>负责客户侧的经纪人</x:v>
      </x:c>
      <x:c r="H47" s="42" t="str">
        <x:v>人员</x:v>
      </x:c>
      <x:c r="I47" s="42" t="str">
        <x:v>直接支持</x:v>
      </x:c>
      <x:c r="J47" s="42" t="str">
        <x:v>queryContractFinanceData / 合同明细</x:v>
      </x:c>
      <x:c r="K47" s="42" t="str">
        <x:v>custUserName</x:v>
      </x:c>
      <x:c r="L47" s="42" t="str">
        <x:v>直接使用MCP。</x:v>
      </x:c>
      <x:c r="M47" s="42" t="str">
        <x:v>若需组织层级仍需人员信息导出。</x:v>
      </x:c>
      <x:c r="N47" s="42" t="str">
        <x:v>中敏</x:v>
      </x:c>
      <x:c r="O47" s="42" t="str">
        <x:v>否</x:v>
      </x:c>
    </x:row>
    <x:row r="48">
      <x:c r="A48" s="42" t="n">
        <x:v>44</x:v>
      </x:c>
      <x:c r="B48" s="42" t="str">
        <x:v>合同信息导出</x:v>
      </x:c>
      <x:c r="C48" s="42" t="str">
        <x:v>合同信息</x:v>
      </x:c>
      <x:c r="D48" s="42" t="str">
        <x:v>买方/租客
职能</x:v>
      </x:c>
      <x:c r="E48" s="42" t="str">
        <x:v>买方/租客</x:v>
      </x:c>
      <x:c r="F48" s="42" t="str">
        <x:v>客源方职能</x:v>
      </x:c>
      <x:c r="G48" s="42" t="str">
        <x:v>客源方经纪人的职能</x:v>
      </x:c>
      <x:c r="H48" s="42" t="str">
        <x:v>组织/人事</x:v>
      </x:c>
      <x:c r="I48" s="42" t="str">
        <x:v>不支持</x:v>
      </x:c>
      <x:c r="J48" s="42" t="str"/>
      <x:c r="K48" s="42" t="str"/>
      <x:c r="L48" s="42" t="str">
        <x:v>需要合同信息或人员信息导出。</x:v>
      </x:c>
      <x:c r="M48" s="42" t="str"/>
      <x:c r="N48" s="42" t="str">
        <x:v>中敏</x:v>
      </x:c>
      <x:c r="O48" s="42" t="str">
        <x:v>是</x:v>
      </x:c>
    </x:row>
    <x:row r="49">
      <x:c r="A49" s="42" t="n">
        <x:v>45</x:v>
      </x:c>
      <x:c r="B49" s="42" t="str">
        <x:v>合同信息导出</x:v>
      </x:c>
      <x:c r="C49" s="42" t="str">
        <x:v>合同信息</x:v>
      </x:c>
      <x:c r="D49" s="42" t="str">
        <x:v>买方/租客
分组</x:v>
      </x:c>
      <x:c r="E49" s="42" t="str">
        <x:v>买方/租客</x:v>
      </x:c>
      <x:c r="F49" s="42" t="str">
        <x:v>客源方分组</x:v>
      </x:c>
      <x:c r="G49" s="42" t="str">
        <x:v>客源方经纪人所属分组</x:v>
      </x:c>
      <x:c r="H49" s="42" t="str">
        <x:v>组织/人事</x:v>
      </x:c>
      <x:c r="I49" s="42" t="str">
        <x:v>不支持</x:v>
      </x:c>
      <x:c r="J49" s="42" t="str"/>
      <x:c r="K49" s="42" t="str"/>
      <x:c r="L49" s="42" t="str">
        <x:v>需要合同信息导出。</x:v>
      </x:c>
      <x:c r="M49" s="42" t="str"/>
      <x:c r="N49" s="42" t="str">
        <x:v>普通</x:v>
      </x:c>
      <x:c r="O49" s="42" t="str">
        <x:v>是</x:v>
      </x:c>
    </x:row>
    <x:row r="50">
      <x:c r="A50" s="42" t="n">
        <x:v>46</x:v>
      </x:c>
      <x:c r="B50" s="42" t="str">
        <x:v>合同信息导出</x:v>
      </x:c>
      <x:c r="C50" s="42" t="str">
        <x:v>合同信息</x:v>
      </x:c>
      <x:c r="D50" s="42" t="str">
        <x:v>买方/租客
门店</x:v>
      </x:c>
      <x:c r="E50" s="42" t="str">
        <x:v>买方/租客</x:v>
      </x:c>
      <x:c r="F50" s="42" t="str">
        <x:v>客源方门店</x:v>
      </x:c>
      <x:c r="G50" s="42" t="str">
        <x:v>客源方经纪人所属门店</x:v>
      </x:c>
      <x:c r="H50" s="42" t="str">
        <x:v>组织/人事</x:v>
      </x:c>
      <x:c r="I50" s="42" t="str">
        <x:v>不支持</x:v>
      </x:c>
      <x:c r="J50" s="42" t="str"/>
      <x:c r="K50" s="42" t="str"/>
      <x:c r="L50" s="42" t="str">
        <x:v>需要合同信息导出。</x:v>
      </x:c>
      <x:c r="M50" s="42" t="str"/>
      <x:c r="N50" s="42" t="str">
        <x:v>普通</x:v>
      </x:c>
      <x:c r="O50" s="42" t="str">
        <x:v>是</x:v>
      </x:c>
    </x:row>
    <x:row r="51">
      <x:c r="A51" s="42" t="n">
        <x:v>47</x:v>
      </x:c>
      <x:c r="B51" s="42" t="str">
        <x:v>合同信息导出</x:v>
      </x:c>
      <x:c r="C51" s="42" t="str">
        <x:v>合同信息</x:v>
      </x:c>
      <x:c r="D51" s="42" t="str">
        <x:v>买方/租客
片区</x:v>
      </x:c>
      <x:c r="E51" s="42" t="str">
        <x:v>买方/租客</x:v>
      </x:c>
      <x:c r="F51" s="42" t="str">
        <x:v>客源方片区</x:v>
      </x:c>
      <x:c r="G51" s="42" t="str">
        <x:v>客源方经纪人所属片区</x:v>
      </x:c>
      <x:c r="H51" s="42" t="str">
        <x:v>组织/人事</x:v>
      </x:c>
      <x:c r="I51" s="42" t="str">
        <x:v>不支持</x:v>
      </x:c>
      <x:c r="J51" s="42" t="str"/>
      <x:c r="K51" s="42" t="str"/>
      <x:c r="L51" s="42" t="str">
        <x:v>需要合同信息导出或人员信息映射。</x:v>
      </x:c>
      <x:c r="M51" s="42" t="str"/>
      <x:c r="N51" s="42" t="str">
        <x:v>普通</x:v>
      </x:c>
      <x:c r="O51" s="42" t="str">
        <x:v>是</x:v>
      </x:c>
    </x:row>
    <x:row r="52">
      <x:c r="A52" s="42" t="n">
        <x:v>48</x:v>
      </x:c>
      <x:c r="B52" s="42" t="str">
        <x:v>合同信息导出</x:v>
      </x:c>
      <x:c r="C52" s="42" t="str">
        <x:v>合同信息</x:v>
      </x:c>
      <x:c r="D52" s="42" t="str">
        <x:v>买方/租客
大区</x:v>
      </x:c>
      <x:c r="E52" s="42" t="str">
        <x:v>买方/租客</x:v>
      </x:c>
      <x:c r="F52" s="42" t="str">
        <x:v>客源方大区</x:v>
      </x:c>
      <x:c r="G52" s="42" t="str">
        <x:v>客源方经纪人所属大区</x:v>
      </x:c>
      <x:c r="H52" s="42" t="str">
        <x:v>组织/人事</x:v>
      </x:c>
      <x:c r="I52" s="42" t="str">
        <x:v>不支持</x:v>
      </x:c>
      <x:c r="J52" s="42" t="str"/>
      <x:c r="K52" s="42" t="str"/>
      <x:c r="L52" s="42" t="str">
        <x:v>需要合同信息导出或人员信息映射。</x:v>
      </x:c>
      <x:c r="M52" s="42" t="str"/>
      <x:c r="N52" s="42" t="str">
        <x:v>普通</x:v>
      </x:c>
      <x:c r="O52" s="42" t="str">
        <x:v>是</x:v>
      </x:c>
    </x:row>
    <x:row r="53">
      <x:c r="A53" s="42" t="n">
        <x:v>49</x:v>
      </x:c>
      <x:c r="B53" s="42" t="str">
        <x:v>合同信息导出</x:v>
      </x:c>
      <x:c r="C53" s="42" t="str">
        <x:v>合同信息</x:v>
      </x:c>
      <x:c r="D53" s="42" t="str">
        <x:v>买方/租客
运营</x:v>
      </x:c>
      <x:c r="E53" s="42" t="str">
        <x:v>买方/租客</x:v>
      </x:c>
      <x:c r="F53" s="42" t="str">
        <x:v>客源方运营</x:v>
      </x:c>
      <x:c r="G53" s="42" t="str">
        <x:v>客源方经纪人所属运营层级</x:v>
      </x:c>
      <x:c r="H53" s="42" t="str">
        <x:v>组织/人事</x:v>
      </x:c>
      <x:c r="I53" s="42" t="str">
        <x:v>不支持</x:v>
      </x:c>
      <x:c r="J53" s="42" t="str"/>
      <x:c r="K53" s="42" t="str"/>
      <x:c r="L53" s="42" t="str">
        <x:v>需要合同信息导出或人员信息映射。</x:v>
      </x:c>
      <x:c r="M53" s="42" t="str"/>
      <x:c r="N53" s="42" t="str">
        <x:v>普通</x:v>
      </x:c>
      <x:c r="O53" s="42" t="str">
        <x:v>是</x:v>
      </x:c>
    </x:row>
    <x:row r="54">
      <x:c r="A54" s="42" t="n">
        <x:v>50</x:v>
      </x:c>
      <x:c r="B54" s="42" t="str">
        <x:v>合同信息导出</x:v>
      </x:c>
      <x:c r="C54" s="42" t="str">
        <x:v>合同信息</x:v>
      </x:c>
      <x:c r="D54" s="42" t="str">
        <x:v>签约门店</x:v>
      </x:c>
      <x:c r="E54" s="42" t="str"/>
      <x:c r="F54" s="42" t="str">
        <x:v>签约部门/门店</x:v>
      </x:c>
      <x:c r="G54" s="42" t="str">
        <x:v>合同签约所属部门或门店</x:v>
      </x:c>
      <x:c r="H54" s="42" t="str">
        <x:v>组织/人事</x:v>
      </x:c>
      <x:c r="I54" s="42" t="str">
        <x:v>部分支持</x:v>
      </x:c>
      <x:c r="J54" s="42" t="str">
        <x:v>queryContractFinanceData / 合同明细</x:v>
      </x:c>
      <x:c r="K54" s="42" t="str">
        <x:v>deptName</x:v>
      </x:c>
      <x:c r="L54" s="42" t="str">
        <x:v>MCP可返回部门名；需要明确门店层级时建议导出。</x:v>
      </x:c>
      <x:c r="M54" s="42" t="str">
        <x:v>deptName未公开组织层级，可能是门店、分组或其他部门。</x:v>
      </x:c>
      <x:c r="N54" s="42" t="str">
        <x:v>普通</x:v>
      </x:c>
      <x:c r="O54" s="42" t="str">
        <x:v>按需</x:v>
      </x:c>
    </x:row>
    <x:row r="55">
      <x:c r="A55" s="42" t="n">
        <x:v>51</x:v>
      </x:c>
      <x:c r="B55" s="42" t="str">
        <x:v>合同信息导出</x:v>
      </x:c>
      <x:c r="C55" s="42" t="str">
        <x:v>合同信息</x:v>
      </x:c>
      <x:c r="D55" s="42" t="str">
        <x:v>签约小组</x:v>
      </x:c>
      <x:c r="E55" s="42" t="str"/>
      <x:c r="F55" s="42" t="str">
        <x:v>签约小组</x:v>
      </x:c>
      <x:c r="G55" s="42" t="str">
        <x:v>合同签约所属小组</x:v>
      </x:c>
      <x:c r="H55" s="42" t="str">
        <x:v>组织/人事</x:v>
      </x:c>
      <x:c r="I55" s="42" t="str">
        <x:v>不支持</x:v>
      </x:c>
      <x:c r="J55" s="42" t="str"/>
      <x:c r="K55" s="42" t="str"/>
      <x:c r="L55" s="42" t="str">
        <x:v>需要客户导出合同信息表。</x:v>
      </x:c>
      <x:c r="M55" s="42" t="str">
        <x:v>MCP没有独立签约小组字段。</x:v>
      </x:c>
      <x:c r="N55" s="42" t="str">
        <x:v>普通</x:v>
      </x:c>
      <x:c r="O55" s="42" t="str">
        <x:v>是</x:v>
      </x:c>
    </x:row>
    <x:row r="56">
      <x:c r="A56" s="42" t="n">
        <x:v>52</x:v>
      </x:c>
      <x:c r="B56" s="42" t="str">
        <x:v>合同信息导出</x:v>
      </x:c>
      <x:c r="C56" s="42" t="str">
        <x:v>合同信息</x:v>
      </x:c>
      <x:c r="D56" s="42" t="str">
        <x:v>成交金额/租金</x:v>
      </x:c>
      <x:c r="E56" s="42" t="str"/>
      <x:c r="F56" s="42" t="str">
        <x:v>成交金额/租金</x:v>
      </x:c>
      <x:c r="G56" s="42" t="str">
        <x:v>买卖成交总价或租赁月租</x:v>
      </x:c>
      <x:c r="H56" s="42" t="str">
        <x:v>金额</x:v>
      </x:c>
      <x:c r="I56" s="42" t="str">
        <x:v>直接支持</x:v>
      </x:c>
      <x:c r="J56" s="42" t="str">
        <x:v>queryContractFinanceData / 合同明细</x:v>
      </x:c>
      <x:c r="K56" s="42" t="str">
        <x:v>contractPrice</x:v>
      </x:c>
      <x:c r="L56" s="42" t="str">
        <x:v>直接使用MCP。</x:v>
      </x:c>
      <x:c r="M56" s="42" t="str">
        <x:v>同一字段包含“万元”和“元/月”等不同单位，计算前需标准化。</x:v>
      </x:c>
      <x:c r="N56" s="42" t="str">
        <x:v>中敏</x:v>
      </x:c>
      <x:c r="O56" s="42" t="str">
        <x:v>否</x:v>
      </x:c>
    </x:row>
    <x:row r="57">
      <x:c r="A57" s="42" t="n">
        <x:v>53</x:v>
      </x:c>
      <x:c r="B57" s="42" t="str">
        <x:v>合同信息导出</x:v>
      </x:c>
      <x:c r="C57" s="42" t="str">
        <x:v>合同信息</x:v>
      </x:c>
      <x:c r="D57" s="42" t="str">
        <x:v>付款方式</x:v>
      </x:c>
      <x:c r="E57" s="42" t="str"/>
      <x:c r="F57" s="42" t="str">
        <x:v>合同付款方式</x:v>
      </x:c>
      <x:c r="G57" s="42" t="str">
        <x:v>一次性、贷款、押付方式等</x:v>
      </x:c>
      <x:c r="H57" s="42" t="str">
        <x:v>状态/分类</x:v>
      </x:c>
      <x:c r="I57" s="42" t="str">
        <x:v>直接支持</x:v>
      </x:c>
      <x:c r="J57" s="42" t="str">
        <x:v>queryContractFinanceData / 合同明细</x:v>
      </x:c>
      <x:c r="K57" s="42" t="str">
        <x:v>paymode</x:v>
      </x:c>
      <x:c r="L57" s="42" t="str">
        <x:v>直接使用MCP。</x:v>
      </x:c>
      <x:c r="M57" s="42" t="str"/>
      <x:c r="N57" s="42" t="str">
        <x:v>普通</x:v>
      </x:c>
      <x:c r="O57" s="42" t="str">
        <x:v>否</x:v>
      </x:c>
    </x:row>
    <x:row r="58">
      <x:c r="A58" s="42" t="n">
        <x:v>54</x:v>
      </x:c>
      <x:c r="B58" s="42" t="str">
        <x:v>合同信息导出</x:v>
      </x:c>
      <x:c r="C58" s="42" t="str">
        <x:v>合同信息</x:v>
      </x:c>
      <x:c r="D58" s="42" t="str">
        <x:v>卖方/房东
应收佣金</x:v>
      </x:c>
      <x:c r="E58" s="42" t="str">
        <x:v>卖方/房东</x:v>
      </x:c>
      <x:c r="F58" s="42" t="str">
        <x:v>房源方应收佣金</x:v>
      </x:c>
      <x:c r="G58" s="42" t="str">
        <x:v>房源方应收佣金金额</x:v>
      </x:c>
      <x:c r="H58" s="42" t="str">
        <x:v>金额</x:v>
      </x:c>
      <x:c r="I58" s="42" t="str">
        <x:v>直接支持</x:v>
      </x:c>
      <x:c r="J58" s="42" t="str">
        <x:v>queryContractFinanceData / 合同明细</x:v>
      </x:c>
      <x:c r="K58" s="42" t="str">
        <x:v>houseIncome</x:v>
      </x:c>
      <x:c r="L58" s="42" t="str">
        <x:v>直接使用MCP。</x:v>
      </x:c>
      <x:c r="M58" s="42" t="str"/>
      <x:c r="N58" s="42" t="str">
        <x:v>中敏</x:v>
      </x:c>
      <x:c r="O58" s="42" t="str">
        <x:v>否</x:v>
      </x:c>
    </x:row>
    <x:row r="59">
      <x:c r="A59" s="42" t="n">
        <x:v>55</x:v>
      </x:c>
      <x:c r="B59" s="42" t="str">
        <x:v>合同信息导出</x:v>
      </x:c>
      <x:c r="C59" s="42" t="str">
        <x:v>合同信息</x:v>
      </x:c>
      <x:c r="D59" s="42" t="str">
        <x:v>买方/租客
应收佣金</x:v>
      </x:c>
      <x:c r="E59" s="42" t="str">
        <x:v>买方/租客</x:v>
      </x:c>
      <x:c r="F59" s="42" t="str">
        <x:v>客源方应收佣金</x:v>
      </x:c>
      <x:c r="G59" s="42" t="str">
        <x:v>客源方应收佣金金额</x:v>
      </x:c>
      <x:c r="H59" s="42" t="str">
        <x:v>金额</x:v>
      </x:c>
      <x:c r="I59" s="42" t="str">
        <x:v>直接支持</x:v>
      </x:c>
      <x:c r="J59" s="42" t="str">
        <x:v>queryContractFinanceData / 合同明细</x:v>
      </x:c>
      <x:c r="K59" s="42" t="str">
        <x:v>custIncome</x:v>
      </x:c>
      <x:c r="L59" s="42" t="str">
        <x:v>直接使用MCP。</x:v>
      </x:c>
      <x:c r="M59" s="42" t="str"/>
      <x:c r="N59" s="42" t="str">
        <x:v>中敏</x:v>
      </x:c>
      <x:c r="O59" s="42" t="str">
        <x:v>否</x:v>
      </x:c>
    </x:row>
    <x:row r="60">
      <x:c r="A60" s="42" t="n">
        <x:v>56</x:v>
      </x:c>
      <x:c r="B60" s="42" t="str">
        <x:v>合同信息导出</x:v>
      </x:c>
      <x:c r="C60" s="42" t="str">
        <x:v>合同信息</x:v>
      </x:c>
      <x:c r="D60" s="42" t="str">
        <x:v>卖方/房东
实收佣金</x:v>
      </x:c>
      <x:c r="E60" s="42" t="str">
        <x:v>卖方/房东</x:v>
      </x:c>
      <x:c r="F60" s="42" t="str">
        <x:v>房源方实收佣金</x:v>
      </x:c>
      <x:c r="G60" s="42" t="str">
        <x:v>房源方已收佣金金额</x:v>
      </x:c>
      <x:c r="H60" s="42" t="str">
        <x:v>金额</x:v>
      </x:c>
      <x:c r="I60" s="42" t="str">
        <x:v>直接支持</x:v>
      </x:c>
      <x:c r="J60" s="42" t="str">
        <x:v>queryContractFinanceData / 合同明细</x:v>
      </x:c>
      <x:c r="K60" s="42" t="str">
        <x:v>paidHouseIncome</x:v>
      </x:c>
      <x:c r="L60" s="42" t="str">
        <x:v>直接使用MCP。</x:v>
      </x:c>
      <x:c r="M60" s="42" t="str"/>
      <x:c r="N60" s="42" t="str">
        <x:v>中敏</x:v>
      </x:c>
      <x:c r="O60" s="42" t="str">
        <x:v>否</x:v>
      </x:c>
    </x:row>
    <x:row r="61">
      <x:c r="A61" s="42" t="n">
        <x:v>57</x:v>
      </x:c>
      <x:c r="B61" s="42" t="str">
        <x:v>合同信息导出</x:v>
      </x:c>
      <x:c r="C61" s="42" t="str">
        <x:v>合同信息</x:v>
      </x:c>
      <x:c r="D61" s="42" t="str">
        <x:v>买方/租客
实收佣金</x:v>
      </x:c>
      <x:c r="E61" s="42" t="str">
        <x:v>买方/租客</x:v>
      </x:c>
      <x:c r="F61" s="42" t="str">
        <x:v>客源方实收佣金</x:v>
      </x:c>
      <x:c r="G61" s="42" t="str">
        <x:v>客源方已收佣金金额</x:v>
      </x:c>
      <x:c r="H61" s="42" t="str">
        <x:v>金额</x:v>
      </x:c>
      <x:c r="I61" s="42" t="str">
        <x:v>直接支持</x:v>
      </x:c>
      <x:c r="J61" s="42" t="str">
        <x:v>queryContractFinanceData / 合同明细</x:v>
      </x:c>
      <x:c r="K61" s="42" t="str">
        <x:v>paidCustIncome</x:v>
      </x:c>
      <x:c r="L61" s="42" t="str">
        <x:v>直接使用MCP。</x:v>
      </x:c>
      <x:c r="M61" s="42" t="str"/>
      <x:c r="N61" s="42" t="str">
        <x:v>中敏</x:v>
      </x:c>
      <x:c r="O61" s="42" t="str">
        <x:v>否</x:v>
      </x:c>
    </x:row>
    <x:row r="62">
      <x:c r="A62" s="42" t="n">
        <x:v>58</x:v>
      </x:c>
      <x:c r="B62" s="42" t="str">
        <x:v>合同信息导出</x:v>
      </x:c>
      <x:c r="C62" s="42" t="str">
        <x:v>合同信息</x:v>
      </x:c>
      <x:c r="D62" s="42" t="str">
        <x:v>交易性质</x:v>
      </x:c>
      <x:c r="E62" s="42" t="str"/>
      <x:c r="F62" s="42" t="str">
        <x:v>交易性质</x:v>
      </x:c>
      <x:c r="G62" s="42" t="str">
        <x:v>合同交易性质或特殊业务属性</x:v>
      </x:c>
      <x:c r="H62" s="42" t="str">
        <x:v>合同补充属性</x:v>
      </x:c>
      <x:c r="I62" s="42" t="str">
        <x:v>不支持</x:v>
      </x:c>
      <x:c r="J62" s="42" t="str"/>
      <x:c r="K62" s="42" t="str"/>
      <x:c r="L62" s="42" t="str">
        <x:v>需要客户导出合同信息表。</x:v>
      </x:c>
      <x:c r="M62" s="42" t="str">
        <x:v>MCP合同明细未暴露此字段。</x:v>
      </x:c>
      <x:c r="N62" s="42" t="str">
        <x:v>普通</x:v>
      </x:c>
      <x:c r="O62" s="42" t="str">
        <x:v>是</x:v>
      </x:c>
    </x:row>
    <x:row r="63">
      <x:c r="A63" s="42" t="n">
        <x:v>59</x:v>
      </x:c>
      <x:c r="B63" s="42" t="str">
        <x:v>合同信息导出</x:v>
      </x:c>
      <x:c r="C63" s="42" t="str">
        <x:v>合同信息</x:v>
      </x:c>
      <x:c r="D63" s="42" t="str">
        <x:v>签约人</x:v>
      </x:c>
      <x:c r="E63" s="42" t="str"/>
      <x:c r="F63" s="42" t="str">
        <x:v>签约人</x:v>
      </x:c>
      <x:c r="G63" s="42" t="str">
        <x:v>合同签约经纪人</x:v>
      </x:c>
      <x:c r="H63" s="42" t="str">
        <x:v>人员</x:v>
      </x:c>
      <x:c r="I63" s="42" t="str">
        <x:v>直接支持</x:v>
      </x:c>
      <x:c r="J63" s="42" t="str">
        <x:v>queryContractFinanceData / 合同明细</x:v>
      </x:c>
      <x:c r="K63" s="42" t="str">
        <x:v>userName</x:v>
      </x:c>
      <x:c r="L63" s="42" t="str">
        <x:v>直接使用MCP。</x:v>
      </x:c>
      <x:c r="M63" s="42" t="str"/>
      <x:c r="N63" s="42" t="str">
        <x:v>中敏</x:v>
      </x:c>
      <x:c r="O63" s="42" t="str">
        <x:v>否</x:v>
      </x:c>
    </x:row>
    <x:row r="64">
      <x:c r="A64" s="42" t="n">
        <x:v>60</x:v>
      </x:c>
      <x:c r="B64" s="42" t="str">
        <x:v>合同信息导出</x:v>
      </x:c>
      <x:c r="C64" s="42" t="str">
        <x:v>合同信息</x:v>
      </x:c>
      <x:c r="D64" s="42" t="str">
        <x:v>签约日期</x:v>
      </x:c>
      <x:c r="E64" s="42" t="str"/>
      <x:c r="F64" s="42" t="str">
        <x:v>签约日期</x:v>
      </x:c>
      <x:c r="G64" s="42" t="str">
        <x:v>合同签署日期</x:v>
      </x:c>
      <x:c r="H64" s="42" t="str">
        <x:v>日期</x:v>
      </x:c>
      <x:c r="I64" s="42" t="str">
        <x:v>直接支持</x:v>
      </x:c>
      <x:c r="J64" s="42" t="str">
        <x:v>queryContractFinanceData / 合同明细</x:v>
      </x:c>
      <x:c r="K64" s="42" t="str">
        <x:v>contractDate</x:v>
      </x:c>
      <x:c r="L64" s="42" t="str">
        <x:v>直接使用MCP。</x:v>
      </x:c>
      <x:c r="M64" s="42" t="str">
        <x:v>合同明细工具说明按签约日期筛选。</x:v>
      </x:c>
      <x:c r="N64" s="42" t="str">
        <x:v>普通</x:v>
      </x:c>
      <x:c r="O64" s="42" t="str">
        <x:v>否</x:v>
      </x:c>
    </x:row>
    <x:row r="65">
      <x:c r="A65" s="42" t="n">
        <x:v>61</x:v>
      </x:c>
      <x:c r="B65" s="42" t="str">
        <x:v>合同信息导出</x:v>
      </x:c>
      <x:c r="C65" s="42" t="str">
        <x:v>合同信息</x:v>
      </x:c>
      <x:c r="D65" s="42" t="str">
        <x:v>产权证号</x:v>
      </x:c>
      <x:c r="E65" s="42" t="str"/>
      <x:c r="F65" s="42" t="str">
        <x:v>产权证号</x:v>
      </x:c>
      <x:c r="G65" s="42" t="str">
        <x:v>房屋产权证书编号</x:v>
      </x:c>
      <x:c r="H65" s="42" t="str">
        <x:v>房屋敏感信息</x:v>
      </x:c>
      <x:c r="I65" s="42" t="str">
        <x:v>直接支持</x:v>
      </x:c>
      <x:c r="J65" s="42" t="str">
        <x:v>queryContractFinanceData / 合同明细</x:v>
      </x:c>
      <x:c r="K65" s="42" t="str">
        <x:v>propertyNo</x:v>
      </x:c>
      <x:c r="L65" s="42" t="str">
        <x:v>仅在明确必要时读取并脱敏。</x:v>
      </x:c>
      <x:c r="M65" s="42" t="str"/>
      <x:c r="N65" s="42" t="str">
        <x:v>高敏</x:v>
      </x:c>
      <x:c r="O65" s="42" t="str">
        <x:v>否</x:v>
      </x:c>
    </x:row>
    <x:row r="66">
      <x:c r="A66" s="42" t="n">
        <x:v>62</x:v>
      </x:c>
      <x:c r="B66" s="42" t="str">
        <x:v>合同信息导出</x:v>
      </x:c>
      <x:c r="C66" s="42" t="str">
        <x:v>合同信息</x:v>
      </x:c>
      <x:c r="D66" s="42" t="str">
        <x:v>有无抵押</x:v>
      </x:c>
      <x:c r="E66" s="42" t="str"/>
      <x:c r="F66" s="42" t="str">
        <x:v>抵押状态</x:v>
      </x:c>
      <x:c r="G66" s="42" t="str">
        <x:v>房屋是否存在抵押</x:v>
      </x:c>
      <x:c r="H66" s="42" t="str">
        <x:v>合同补充属性</x:v>
      </x:c>
      <x:c r="I66" s="42" t="str">
        <x:v>不支持</x:v>
      </x:c>
      <x:c r="J66" s="42" t="str"/>
      <x:c r="K66" s="42" t="str"/>
      <x:c r="L66" s="42" t="str">
        <x:v>需要客户导出合同信息表。</x:v>
      </x:c>
      <x:c r="M66" s="42" t="str">
        <x:v>MCP合同明细未暴露抵押状态。</x:v>
      </x:c>
      <x:c r="N66" s="42" t="str">
        <x:v>中敏</x:v>
      </x:c>
      <x:c r="O66" s="42" t="str">
        <x:v>是</x:v>
      </x:c>
    </x:row>
    <x:row r="67">
      <x:c r="A67" s="42" t="n">
        <x:v>63</x:v>
      </x:c>
      <x:c r="B67" s="42" t="str">
        <x:v>合同信息导出</x:v>
      </x:c>
      <x:c r="C67" s="42" t="str">
        <x:v>合同信息</x:v>
      </x:c>
      <x:c r="D67" s="42" t="str">
        <x:v>押金金额</x:v>
      </x:c>
      <x:c r="E67" s="42" t="str"/>
      <x:c r="F67" s="42" t="str">
        <x:v>押金金额</x:v>
      </x:c>
      <x:c r="G67" s="42" t="str">
        <x:v>租赁合同押金</x:v>
      </x:c>
      <x:c r="H67" s="42" t="str">
        <x:v>金额</x:v>
      </x:c>
      <x:c r="I67" s="42" t="str">
        <x:v>直接支持</x:v>
      </x:c>
      <x:c r="J67" s="42" t="str">
        <x:v>queryContractFinanceData / 合同明细</x:v>
      </x:c>
      <x:c r="K67" s="42" t="str">
        <x:v>deposit</x:v>
      </x:c>
      <x:c r="L67" s="42" t="str">
        <x:v>直接使用MCP。</x:v>
      </x:c>
      <x:c r="M67" s="42" t="str"/>
      <x:c r="N67" s="42" t="str">
        <x:v>中敏</x:v>
      </x:c>
      <x:c r="O67" s="42" t="str">
        <x:v>否</x:v>
      </x:c>
    </x:row>
    <x:row r="68">
      <x:c r="A68" s="42" t="n">
        <x:v>64</x:v>
      </x:c>
      <x:c r="B68" s="42" t="str">
        <x:v>合同信息导出</x:v>
      </x:c>
      <x:c r="C68" s="42" t="str">
        <x:v>合同信息</x:v>
      </x:c>
      <x:c r="D68" s="42" t="str">
        <x:v>起租日期</x:v>
      </x:c>
      <x:c r="E68" s="42" t="str"/>
      <x:c r="F68" s="42" t="str">
        <x:v>起租日期</x:v>
      </x:c>
      <x:c r="G68" s="42" t="str">
        <x:v>租赁合同开始日期</x:v>
      </x:c>
      <x:c r="H68" s="42" t="str">
        <x:v>日期</x:v>
      </x:c>
      <x:c r="I68" s="42" t="str">
        <x:v>直接支持</x:v>
      </x:c>
      <x:c r="J68" s="42" t="str">
        <x:v>queryContractFinanceData / 合同明细</x:v>
      </x:c>
      <x:c r="K68" s="42" t="str">
        <x:v>rentBegin</x:v>
      </x:c>
      <x:c r="L68" s="42" t="str">
        <x:v>直接使用MCP。</x:v>
      </x:c>
      <x:c r="M68" s="42" t="str"/>
      <x:c r="N68" s="42" t="str">
        <x:v>普通</x:v>
      </x:c>
      <x:c r="O68" s="42" t="str">
        <x:v>否</x:v>
      </x:c>
    </x:row>
    <x:row r="69">
      <x:c r="A69" s="42" t="n">
        <x:v>65</x:v>
      </x:c>
      <x:c r="B69" s="42" t="str">
        <x:v>合同信息导出</x:v>
      </x:c>
      <x:c r="C69" s="42" t="str">
        <x:v>合同信息</x:v>
      </x:c>
      <x:c r="D69" s="42" t="str">
        <x:v>截止日期</x:v>
      </x:c>
      <x:c r="E69" s="42" t="str"/>
      <x:c r="F69" s="42" t="str">
        <x:v>租赁截止日期</x:v>
      </x:c>
      <x:c r="G69" s="42" t="str">
        <x:v>租赁合同结束日期</x:v>
      </x:c>
      <x:c r="H69" s="42" t="str">
        <x:v>日期</x:v>
      </x:c>
      <x:c r="I69" s="42" t="str">
        <x:v>直接支持</x:v>
      </x:c>
      <x:c r="J69" s="42" t="str">
        <x:v>queryContractFinanceData / 合同明细</x:v>
      </x:c>
      <x:c r="K69" s="42" t="str">
        <x:v>rentEnd</x:v>
      </x:c>
      <x:c r="L69" s="42" t="str">
        <x:v>直接使用MCP。</x:v>
      </x:c>
      <x:c r="M69" s="42" t="str"/>
      <x:c r="N69" s="42" t="str">
        <x:v>普通</x:v>
      </x:c>
      <x:c r="O69" s="42" t="str">
        <x:v>否</x:v>
      </x:c>
    </x:row>
    <x:row r="70">
      <x:c r="A70" s="42" t="n">
        <x:v>66</x:v>
      </x:c>
      <x:c r="B70" s="42" t="str">
        <x:v>合同信息导出</x:v>
      </x:c>
      <x:c r="C70" s="42" t="str">
        <x:v>合同信息</x:v>
      </x:c>
      <x:c r="D70" s="42" t="str">
        <x:v>结单日期</x:v>
      </x:c>
      <x:c r="E70" s="42" t="str"/>
      <x:c r="F70" s="42" t="str">
        <x:v>结单日期</x:v>
      </x:c>
      <x:c r="G70" s="42" t="str">
        <x:v>合同完成结单的日期</x:v>
      </x:c>
      <x:c r="H70" s="42" t="str">
        <x:v>日期</x:v>
      </x:c>
      <x:c r="I70" s="42" t="str">
        <x:v>直接支持</x:v>
      </x:c>
      <x:c r="J70" s="42" t="str">
        <x:v>queryContractFinanceData / 合同明细</x:v>
      </x:c>
      <x:c r="K70" s="42" t="str">
        <x:v>finishTime</x:v>
      </x:c>
      <x:c r="L70" s="42" t="str">
        <x:v>直接使用MCP。</x:v>
      </x:c>
      <x:c r="M70" s="42" t="str"/>
      <x:c r="N70" s="42" t="str">
        <x:v>普通</x:v>
      </x:c>
      <x:c r="O70" s="42" t="str">
        <x:v>否</x:v>
      </x:c>
    </x:row>
    <x:row r="71">
      <x:c r="A71" s="42" t="n">
        <x:v>67</x:v>
      </x:c>
      <x:c r="B71" s="42" t="str">
        <x:v>合同信息导出</x:v>
      </x:c>
      <x:c r="C71" s="42" t="str">
        <x:v>合同信息</x:v>
      </x:c>
      <x:c r="D71" s="42" t="str">
        <x:v>备注</x:v>
      </x:c>
      <x:c r="E71" s="42" t="str"/>
      <x:c r="F71" s="42" t="str">
        <x:v>合同备注</x:v>
      </x:c>
      <x:c r="G71" s="42" t="str">
        <x:v>合同补充条款、业绩拆分等备注</x:v>
      </x:c>
      <x:c r="H71" s="42" t="str">
        <x:v>文本备注</x:v>
      </x:c>
      <x:c r="I71" s="42" t="str">
        <x:v>直接支持</x:v>
      </x:c>
      <x:c r="J71" s="42" t="str">
        <x:v>queryContractFinanceData / 合同明细</x:v>
      </x:c>
      <x:c r="K71" s="42" t="str">
        <x:v>remark</x:v>
      </x:c>
      <x:c r="L71" s="42" t="str">
        <x:v>直接使用MCP，默认避免完整输出。</x:v>
      </x:c>
      <x:c r="M71" s="42" t="str">
        <x:v>可能包含身份证、电话、收费及内部规则。</x:v>
      </x:c>
      <x:c r="N71" s="42" t="str">
        <x:v>高敏</x:v>
      </x:c>
      <x:c r="O71" s="42" t="str">
        <x:v>否</x:v>
      </x:c>
    </x:row>
    <x:row r="72">
      <x:c r="A72" s="42" t="n">
        <x:v>68</x:v>
      </x:c>
      <x:c r="B72" s="42" t="str">
        <x:v>实收明细导出</x:v>
      </x:c>
      <x:c r="C72" s="42" t="str">
        <x:v>实收明细</x:v>
      </x:c>
      <x:c r="D72" s="42" t="str">
        <x:v>合同类型</x:v>
      </x:c>
      <x:c r="E72" s="42" t="str"/>
      <x:c r="F72" s="42" t="str">
        <x:v>合同类型</x:v>
      </x:c>
      <x:c r="G72" s="42" t="str">
        <x:v>合同所属业务类型</x:v>
      </x:c>
      <x:c r="H72" s="42" t="str">
        <x:v>合同标识</x:v>
      </x:c>
      <x:c r="I72" s="42" t="str">
        <x:v>直接支持</x:v>
      </x:c>
      <x:c r="J72" s="42" t="str">
        <x:v>queryContractFinanceData / 实收明细</x:v>
      </x:c>
      <x:c r="K72" s="42" t="str">
        <x:v>contractType</x:v>
      </x:c>
      <x:c r="L72" s="42" t="str">
        <x:v>直接使用MCP。</x:v>
      </x:c>
      <x:c r="M72" s="42" t="str">
        <x:v>与合同编号组成合同唯一键。</x:v>
      </x:c>
      <x:c r="N72" s="42" t="str">
        <x:v>普通</x:v>
      </x:c>
      <x:c r="O72" s="42" t="str">
        <x:v>否</x:v>
      </x:c>
    </x:row>
    <x:row r="73">
      <x:c r="A73" s="42" t="n">
        <x:v>69</x:v>
      </x:c>
      <x:c r="B73" s="42" t="str">
        <x:v>实收明细导出</x:v>
      </x:c>
      <x:c r="C73" s="42" t="str">
        <x:v>实收明细</x:v>
      </x:c>
      <x:c r="D73" s="42" t="str">
        <x:v>合同编号</x:v>
      </x:c>
      <x:c r="E73" s="42" t="str"/>
      <x:c r="F73" s="42" t="str">
        <x:v>合同编号</x:v>
      </x:c>
      <x:c r="G73" s="42" t="str">
        <x:v>合同编号</x:v>
      </x:c>
      <x:c r="H73" s="42" t="str">
        <x:v>合同标识</x:v>
      </x:c>
      <x:c r="I73" s="42" t="str">
        <x:v>直接支持</x:v>
      </x:c>
      <x:c r="J73" s="42" t="str">
        <x:v>queryContractFinanceData / 实收明细</x:v>
      </x:c>
      <x:c r="K73" s="42" t="str">
        <x:v>contractNo</x:v>
      </x:c>
      <x:c r="L73" s="42" t="str">
        <x:v>直接使用MCP。</x:v>
      </x:c>
      <x:c r="M73" s="42" t="str">
        <x:v>按文本清理首尾空格。</x:v>
      </x:c>
      <x:c r="N73" s="42" t="str">
        <x:v>中敏</x:v>
      </x:c>
      <x:c r="O73" s="42" t="str">
        <x:v>否</x:v>
      </x:c>
    </x:row>
    <x:row r="74">
      <x:c r="A74" s="42" t="n">
        <x:v>70</x:v>
      </x:c>
      <x:c r="B74" s="42" t="str">
        <x:v>实收明细导出</x:v>
      </x:c>
      <x:c r="C74" s="42" t="str">
        <x:v>实收明细</x:v>
      </x:c>
      <x:c r="D74" s="42" t="str">
        <x:v>签约时间</x:v>
      </x:c>
      <x:c r="E74" s="42" t="str"/>
      <x:c r="F74" s="42" t="str">
        <x:v>签约日期</x:v>
      </x:c>
      <x:c r="G74" s="42" t="str">
        <x:v>合同签约日期</x:v>
      </x:c>
      <x:c r="H74" s="42" t="str">
        <x:v>日期</x:v>
      </x:c>
      <x:c r="I74" s="42" t="str">
        <x:v>直接支持</x:v>
      </x:c>
      <x:c r="J74" s="42" t="str">
        <x:v>queryContractFinanceData / 实收明细</x:v>
      </x:c>
      <x:c r="K74" s="42" t="str">
        <x:v>contractDate</x:v>
      </x:c>
      <x:c r="L74" s="42" t="str">
        <x:v>直接使用MCP。</x:v>
      </x:c>
      <x:c r="M74" s="42" t="str"/>
      <x:c r="N74" s="42" t="str">
        <x:v>普通</x:v>
      </x:c>
      <x:c r="O74" s="42" t="str">
        <x:v>否</x:v>
      </x:c>
    </x:row>
    <x:row r="75">
      <x:c r="A75" s="42" t="n">
        <x:v>71</x:v>
      </x:c>
      <x:c r="B75" s="42" t="str">
        <x:v>实收明细导出</x:v>
      </x:c>
      <x:c r="C75" s="42" t="str">
        <x:v>实收明细</x:v>
      </x:c>
      <x:c r="D75" s="42" t="str">
        <x:v>科目</x:v>
      </x:c>
      <x:c r="E75" s="42" t="str"/>
      <x:c r="F75" s="42" t="str">
        <x:v>实收科目</x:v>
      </x:c>
      <x:c r="G75" s="42" t="str">
        <x:v>佣金、贷款服务费等实收类型</x:v>
      </x:c>
      <x:c r="H75" s="42" t="str">
        <x:v>财务科目</x:v>
      </x:c>
      <x:c r="I75" s="42" t="str">
        <x:v>直接支持</x:v>
      </x:c>
      <x:c r="J75" s="42" t="str">
        <x:v>queryContractFinanceData / 实收明细</x:v>
      </x:c>
      <x:c r="K75" s="42" t="str">
        <x:v>incomeTypeString</x:v>
      </x:c>
      <x:c r="L75" s="42" t="str">
        <x:v>直接使用MCP。</x:v>
      </x:c>
      <x:c r="M75" s="42" t="str"/>
      <x:c r="N75" s="42" t="str">
        <x:v>普通</x:v>
      </x:c>
      <x:c r="O75" s="42" t="str">
        <x:v>否</x:v>
      </x:c>
    </x:row>
    <x:row r="76">
      <x:c r="A76" s="42" t="n">
        <x:v>72</x:v>
      </x:c>
      <x:c r="B76" s="42" t="str">
        <x:v>实收明细导出</x:v>
      </x:c>
      <x:c r="C76" s="42" t="str">
        <x:v>实收明细</x:v>
      </x:c>
      <x:c r="D76" s="42" t="str">
        <x:v>状态</x:v>
      </x:c>
      <x:c r="E76" s="42" t="str"/>
      <x:c r="F76" s="42" t="str">
        <x:v>实收审核状态</x:v>
      </x:c>
      <x:c r="G76" s="42" t="str">
        <x:v>实收记录审核状态</x:v>
      </x:c>
      <x:c r="H76" s="42" t="str">
        <x:v>状态/分类</x:v>
      </x:c>
      <x:c r="I76" s="42" t="str">
        <x:v>部分支持</x:v>
      </x:c>
      <x:c r="J76" s="42" t="str">
        <x:v>queryContractFinanceData / 实收明细</x:v>
      </x:c>
      <x:c r="K76" s="42" t="str">
        <x:v>status</x:v>
      </x:c>
      <x:c r="L76" s="42" t="str">
        <x:v>字段可返回，但状态值含义未公开；需要可读状态时建议导出。</x:v>
      </x:c>
      <x:c r="M76" s="42" t="str">
        <x:v>MCP样例出现0/1，不应擅自解释。</x:v>
      </x:c>
      <x:c r="N76" s="42" t="str">
        <x:v>普通</x:v>
      </x:c>
      <x:c r="O76" s="42" t="str">
        <x:v>按需</x:v>
      </x:c>
    </x:row>
    <x:row r="77">
      <x:c r="A77" s="42" t="n">
        <x:v>73</x:v>
      </x:c>
      <x:c r="B77" s="42" t="str">
        <x:v>实收明细导出</x:v>
      </x:c>
      <x:c r="C77" s="42" t="str">
        <x:v>实收明细</x:v>
      </x:c>
      <x:c r="D77" s="42" t="str">
        <x:v>签约门店</x:v>
      </x:c>
      <x:c r="E77" s="42" t="str"/>
      <x:c r="F77" s="42" t="str">
        <x:v>签约部门/门店</x:v>
      </x:c>
      <x:c r="G77" s="42" t="str">
        <x:v>合同签约所属部门或门店</x:v>
      </x:c>
      <x:c r="H77" s="42" t="str">
        <x:v>组织/人事</x:v>
      </x:c>
      <x:c r="I77" s="42" t="str">
        <x:v>部分支持</x:v>
      </x:c>
      <x:c r="J77" s="42" t="str">
        <x:v>queryContractFinanceData / 实收明细</x:v>
      </x:c>
      <x:c r="K77" s="42" t="str">
        <x:v>deptName</x:v>
      </x:c>
      <x:c r="L77" s="42" t="str">
        <x:v>MCP可返回部门名；需明确门店层级时建议导出。</x:v>
      </x:c>
      <x:c r="M77" s="42" t="str">
        <x:v>组织层级未公开。</x:v>
      </x:c>
      <x:c r="N77" s="42" t="str">
        <x:v>普通</x:v>
      </x:c>
      <x:c r="O77" s="42" t="str">
        <x:v>按需</x:v>
      </x:c>
    </x:row>
    <x:row r="78">
      <x:c r="A78" s="42" t="n">
        <x:v>74</x:v>
      </x:c>
      <x:c r="B78" s="42" t="str">
        <x:v>实收明细导出</x:v>
      </x:c>
      <x:c r="C78" s="42" t="str">
        <x:v>实收明细</x:v>
      </x:c>
      <x:c r="D78" s="42" t="str">
        <x:v>签约分组</x:v>
      </x:c>
      <x:c r="E78" s="42" t="str"/>
      <x:c r="F78" s="42" t="str">
        <x:v>签约分组</x:v>
      </x:c>
      <x:c r="G78" s="42" t="str">
        <x:v>合同签约所属分组</x:v>
      </x:c>
      <x:c r="H78" s="42" t="str">
        <x:v>组织/人事</x:v>
      </x:c>
      <x:c r="I78" s="42" t="str">
        <x:v>不支持</x:v>
      </x:c>
      <x:c r="J78" s="42" t="str"/>
      <x:c r="K78" s="42" t="str"/>
      <x:c r="L78" s="42" t="str">
        <x:v>需要客户导出实收明细表。</x:v>
      </x:c>
      <x:c r="M78" s="42" t="str">
        <x:v>MCP没有独立签约分组字段。</x:v>
      </x:c>
      <x:c r="N78" s="42" t="str">
        <x:v>普通</x:v>
      </x:c>
      <x:c r="O78" s="42" t="str">
        <x:v>是</x:v>
      </x:c>
    </x:row>
    <x:row r="79">
      <x:c r="A79" s="42" t="n">
        <x:v>75</x:v>
      </x:c>
      <x:c r="B79" s="42" t="str">
        <x:v>实收明细导出</x:v>
      </x:c>
      <x:c r="C79" s="42" t="str">
        <x:v>实收明细</x:v>
      </x:c>
      <x:c r="D79" s="42" t="str">
        <x:v>签约人</x:v>
      </x:c>
      <x:c r="E79" s="42" t="str"/>
      <x:c r="F79" s="42" t="str">
        <x:v>签约人</x:v>
      </x:c>
      <x:c r="G79" s="42" t="str">
        <x:v>合同签约人</x:v>
      </x:c>
      <x:c r="H79" s="42" t="str">
        <x:v>人员</x:v>
      </x:c>
      <x:c r="I79" s="42" t="str">
        <x:v>直接支持</x:v>
      </x:c>
      <x:c r="J79" s="42" t="str">
        <x:v>queryContractFinanceData / 实收明细</x:v>
      </x:c>
      <x:c r="K79" s="42" t="str">
        <x:v>signUserName</x:v>
      </x:c>
      <x:c r="L79" s="42" t="str">
        <x:v>直接使用MCP。</x:v>
      </x:c>
      <x:c r="M79" s="42" t="str"/>
      <x:c r="N79" s="42" t="str">
        <x:v>中敏</x:v>
      </x:c>
      <x:c r="O79" s="42" t="str">
        <x:v>否</x:v>
      </x:c>
    </x:row>
    <x:row r="80">
      <x:c r="A80" s="42" t="n">
        <x:v>76</x:v>
      </x:c>
      <x:c r="B80" s="42" t="str">
        <x:v>实收明细导出</x:v>
      </x:c>
      <x:c r="C80" s="42" t="str">
        <x:v>实收明细</x:v>
      </x:c>
      <x:c r="D80" s="42" t="str">
        <x:v>佣金来源</x:v>
      </x:c>
      <x:c r="E80" s="42" t="str"/>
      <x:c r="F80" s="42" t="str">
        <x:v>实收来源</x:v>
      </x:c>
      <x:c r="G80" s="42" t="str">
        <x:v>买方、租客、房东等付款来源</x:v>
      </x:c>
      <x:c r="H80" s="42" t="str">
        <x:v>财务科目</x:v>
      </x:c>
      <x:c r="I80" s="42" t="str">
        <x:v>直接支持</x:v>
      </x:c>
      <x:c r="J80" s="42" t="str">
        <x:v>queryContractFinanceData / 实收明细</x:v>
      </x:c>
      <x:c r="K80" s="42" t="str">
        <x:v>incomeSrc</x:v>
      </x:c>
      <x:c r="L80" s="42" t="str">
        <x:v>直接使用MCP。</x:v>
      </x:c>
      <x:c r="M80" s="42" t="str"/>
      <x:c r="N80" s="42" t="str">
        <x:v>普通</x:v>
      </x:c>
      <x:c r="O80" s="42" t="str">
        <x:v>否</x:v>
      </x:c>
    </x:row>
    <x:row r="81">
      <x:c r="A81" s="42" t="n">
        <x:v>77</x:v>
      </x:c>
      <x:c r="B81" s="42" t="str">
        <x:v>实收明细导出</x:v>
      </x:c>
      <x:c r="C81" s="42" t="str">
        <x:v>实收明细</x:v>
      </x:c>
      <x:c r="D81" s="42" t="str">
        <x:v>支付金额</x:v>
      </x:c>
      <x:c r="E81" s="42" t="str"/>
      <x:c r="F81" s="42" t="str">
        <x:v>实收金额</x:v>
      </x:c>
      <x:c r="G81" s="42" t="str">
        <x:v>本笔实际收款金额</x:v>
      </x:c>
      <x:c r="H81" s="42" t="str">
        <x:v>金额</x:v>
      </x:c>
      <x:c r="I81" s="42" t="str">
        <x:v>直接支持</x:v>
      </x:c>
      <x:c r="J81" s="42" t="str">
        <x:v>queryContractFinanceData / 实收明细</x:v>
      </x:c>
      <x:c r="K81" s="42" t="str">
        <x:v>amount</x:v>
      </x:c>
      <x:c r="L81" s="42" t="str">
        <x:v>直接使用MCP。</x:v>
      </x:c>
      <x:c r="M81" s="42" t="str"/>
      <x:c r="N81" s="42" t="str">
        <x:v>中敏</x:v>
      </x:c>
      <x:c r="O81" s="42" t="str">
        <x:v>否</x:v>
      </x:c>
    </x:row>
    <x:row r="82">
      <x:c r="A82" s="42" t="n">
        <x:v>78</x:v>
      </x:c>
      <x:c r="B82" s="42" t="str">
        <x:v>实收明细导出</x:v>
      </x:c>
      <x:c r="C82" s="42" t="str">
        <x:v>实收明细</x:v>
      </x:c>
      <x:c r="D82" s="42" t="str">
        <x:v>备注</x:v>
      </x:c>
      <x:c r="E82" s="42" t="str"/>
      <x:c r="F82" s="42" t="str">
        <x:v>实收备注</x:v>
      </x:c>
      <x:c r="G82" s="42" t="str">
        <x:v>本笔实收补充说明</x:v>
      </x:c>
      <x:c r="H82" s="42" t="str">
        <x:v>文本备注</x:v>
      </x:c>
      <x:c r="I82" s="42" t="str">
        <x:v>直接支持</x:v>
      </x:c>
      <x:c r="J82" s="42" t="str">
        <x:v>queryContractFinanceData / 实收明细</x:v>
      </x:c>
      <x:c r="K82" s="42" t="str">
        <x:v>remark</x:v>
      </x:c>
      <x:c r="L82" s="42" t="str">
        <x:v>直接使用MCP，按需脱敏。</x:v>
      </x:c>
      <x:c r="M82" s="42" t="str"/>
      <x:c r="N82" s="42" t="str">
        <x:v>中敏</x:v>
      </x:c>
      <x:c r="O82" s="42" t="str">
        <x:v>否</x:v>
      </x:c>
    </x:row>
    <x:row r="83">
      <x:c r="A83" s="42" t="n">
        <x:v>79</x:v>
      </x:c>
      <x:c r="B83" s="42" t="str">
        <x:v>实收明细导出</x:v>
      </x:c>
      <x:c r="C83" s="42" t="str">
        <x:v>实收明细</x:v>
      </x:c>
      <x:c r="D83" s="42" t="str">
        <x:v>支付日期</x:v>
      </x:c>
      <x:c r="E83" s="42" t="str"/>
      <x:c r="F83" s="42" t="str">
        <x:v>实收日期</x:v>
      </x:c>
      <x:c r="G83" s="42" t="str">
        <x:v>本笔款项实际收取日期</x:v>
      </x:c>
      <x:c r="H83" s="42" t="str">
        <x:v>日期</x:v>
      </x:c>
      <x:c r="I83" s="42" t="str">
        <x:v>直接支持</x:v>
      </x:c>
      <x:c r="J83" s="42" t="str">
        <x:v>queryContractFinanceData / 实收明细</x:v>
      </x:c>
      <x:c r="K83" s="42" t="str">
        <x:v>incomeDate</x:v>
      </x:c>
      <x:c r="L83" s="42" t="str">
        <x:v>直接使用MCP。</x:v>
      </x:c>
      <x:c r="M83" s="42" t="str">
        <x:v>实收明细按支付日期筛选。</x:v>
      </x:c>
      <x:c r="N83" s="42" t="str">
        <x:v>普通</x:v>
      </x:c>
      <x:c r="O83" s="42" t="str">
        <x:v>否</x:v>
      </x:c>
    </x:row>
    <x:row r="84">
      <x:c r="A84" s="42" t="n">
        <x:v>80</x:v>
      </x:c>
      <x:c r="B84" s="42" t="str">
        <x:v>实收明细导出</x:v>
      </x:c>
      <x:c r="C84" s="42" t="str">
        <x:v>实收明细</x:v>
      </x:c>
      <x:c r="D84" s="42" t="str">
        <x:v>票据号码</x:v>
      </x:c>
      <x:c r="E84" s="42" t="str"/>
      <x:c r="F84" s="42" t="str">
        <x:v>票据号码</x:v>
      </x:c>
      <x:c r="G84" s="42" t="str">
        <x:v>收款票据编号</x:v>
      </x:c>
      <x:c r="H84" s="42" t="str">
        <x:v>财务标识</x:v>
      </x:c>
      <x:c r="I84" s="42" t="str">
        <x:v>直接支持</x:v>
      </x:c>
      <x:c r="J84" s="42" t="str">
        <x:v>queryContractFinanceData / 实收明细</x:v>
      </x:c>
      <x:c r="K84" s="42" t="str">
        <x:v>ticketNo</x:v>
      </x:c>
      <x:c r="L84" s="42" t="str">
        <x:v>直接使用MCP。</x:v>
      </x:c>
      <x:c r="M84" s="42" t="str"/>
      <x:c r="N84" s="42" t="str">
        <x:v>中敏</x:v>
      </x:c>
      <x:c r="O84" s="42" t="str">
        <x:v>否</x:v>
      </x:c>
    </x:row>
    <x:row r="85">
      <x:c r="A85" s="42" t="n">
        <x:v>81</x:v>
      </x:c>
      <x:c r="B85" s="42" t="str">
        <x:v>业绩明细导出</x:v>
      </x:c>
      <x:c r="C85" s="42" t="str">
        <x:v>应收应付</x:v>
      </x:c>
      <x:c r="D85" s="42" t="str">
        <x:v>合同类型</x:v>
      </x:c>
      <x:c r="E85" s="42" t="str"/>
      <x:c r="F85" s="42" t="str">
        <x:v>合同类型</x:v>
      </x:c>
      <x:c r="G85" s="42" t="str">
        <x:v>合同所属业务类型</x:v>
      </x:c>
      <x:c r="H85" s="42" t="str">
        <x:v>合同标识</x:v>
      </x:c>
      <x:c r="I85" s="42" t="str">
        <x:v>直接支持</x:v>
      </x:c>
      <x:c r="J85" s="42" t="str">
        <x:v>queryContractFinanceData / 应收应付</x:v>
      </x:c>
      <x:c r="K85" s="42" t="str">
        <x:v>contractType</x:v>
      </x:c>
      <x:c r="L85" s="42" t="str">
        <x:v>直接使用MCP。</x:v>
      </x:c>
      <x:c r="M85" s="42" t="str">
        <x:v>与合同编号组成合同唯一键。</x:v>
      </x:c>
      <x:c r="N85" s="42" t="str">
        <x:v>普通</x:v>
      </x:c>
      <x:c r="O85" s="42" t="str">
        <x:v>否</x:v>
      </x:c>
    </x:row>
    <x:row r="86">
      <x:c r="A86" s="42" t="n">
        <x:v>82</x:v>
      </x:c>
      <x:c r="B86" s="42" t="str">
        <x:v>业绩明细导出</x:v>
      </x:c>
      <x:c r="C86" s="42" t="str">
        <x:v>应收应付</x:v>
      </x:c>
      <x:c r="D86" s="42" t="str">
        <x:v>合同编号</x:v>
      </x:c>
      <x:c r="E86" s="42" t="str"/>
      <x:c r="F86" s="42" t="str">
        <x:v>合同编号</x:v>
      </x:c>
      <x:c r="G86" s="42" t="str">
        <x:v>合同编号</x:v>
      </x:c>
      <x:c r="H86" s="42" t="str">
        <x:v>合同标识</x:v>
      </x:c>
      <x:c r="I86" s="42" t="str">
        <x:v>直接支持</x:v>
      </x:c>
      <x:c r="J86" s="42" t="str">
        <x:v>queryContractFinanceData / 应收应付</x:v>
      </x:c>
      <x:c r="K86" s="42" t="str">
        <x:v>contractNo</x:v>
      </x:c>
      <x:c r="L86" s="42" t="str">
        <x:v>直接使用MCP。</x:v>
      </x:c>
      <x:c r="M86" s="42" t="str">
        <x:v>按文本清理首尾空格。</x:v>
      </x:c>
      <x:c r="N86" s="42" t="str">
        <x:v>中敏</x:v>
      </x:c>
      <x:c r="O86" s="42" t="str">
        <x:v>否</x:v>
      </x:c>
    </x:row>
    <x:row r="87">
      <x:c r="A87" s="42" t="n">
        <x:v>83</x:v>
      </x:c>
      <x:c r="B87" s="42" t="str">
        <x:v>业绩明细导出</x:v>
      </x:c>
      <x:c r="C87" s="42" t="str">
        <x:v>应收应付</x:v>
      </x:c>
      <x:c r="D87" s="42" t="str">
        <x:v>结单状态</x:v>
      </x:c>
      <x:c r="E87" s="42" t="str"/>
      <x:c r="F87" s="42" t="str">
        <x:v>结单状态</x:v>
      </x:c>
      <x:c r="G87" s="42" t="str">
        <x:v>合同是否结单</x:v>
      </x:c>
      <x:c r="H87" s="42" t="str">
        <x:v>状态/分类</x:v>
      </x:c>
      <x:c r="I87" s="42" t="str">
        <x:v>直接支持</x:v>
      </x:c>
      <x:c r="J87" s="42" t="str">
        <x:v>queryContractFinanceData / 应收应付</x:v>
      </x:c>
      <x:c r="K87" s="42" t="str">
        <x:v>finishStatus</x:v>
      </x:c>
      <x:c r="L87" s="42" t="str">
        <x:v>直接使用MCP。</x:v>
      </x:c>
      <x:c r="M87" s="42" t="str"/>
      <x:c r="N87" s="42" t="str">
        <x:v>普通</x:v>
      </x:c>
      <x:c r="O87" s="42" t="str">
        <x:v>否</x:v>
      </x:c>
    </x:row>
    <x:row r="88">
      <x:c r="A88" s="42" t="n">
        <x:v>84</x:v>
      </x:c>
      <x:c r="B88" s="42" t="str">
        <x:v>业绩明细导出</x:v>
      </x:c>
      <x:c r="C88" s="42" t="str">
        <x:v>应收应付</x:v>
      </x:c>
      <x:c r="D88" s="42" t="str">
        <x:v>结单时间</x:v>
      </x:c>
      <x:c r="E88" s="42" t="str"/>
      <x:c r="F88" s="42" t="str">
        <x:v>结单日期</x:v>
      </x:c>
      <x:c r="G88" s="42" t="str">
        <x:v>合同结单时间</x:v>
      </x:c>
      <x:c r="H88" s="42" t="str">
        <x:v>日期</x:v>
      </x:c>
      <x:c r="I88" s="42" t="str">
        <x:v>直接支持</x:v>
      </x:c>
      <x:c r="J88" s="42" t="str">
        <x:v>queryContractFinanceData / 应收应付</x:v>
      </x:c>
      <x:c r="K88" s="42" t="str">
        <x:v>finishTime</x:v>
      </x:c>
      <x:c r="L88" s="42" t="str">
        <x:v>直接使用MCP。</x:v>
      </x:c>
      <x:c r="M88" s="42" t="str"/>
      <x:c r="N88" s="42" t="str">
        <x:v>普通</x:v>
      </x:c>
      <x:c r="O88" s="42" t="str">
        <x:v>否</x:v>
      </x:c>
    </x:row>
    <x:row r="89">
      <x:c r="A89" s="42" t="n">
        <x:v>85</x:v>
      </x:c>
      <x:c r="B89" s="42" t="str">
        <x:v>业绩明细导出</x:v>
      </x:c>
      <x:c r="C89" s="42" t="str">
        <x:v>应收应付</x:v>
      </x:c>
      <x:c r="D89" s="42" t="str">
        <x:v>收齐状态</x:v>
      </x:c>
      <x:c r="E89" s="42" t="str"/>
      <x:c r="F89" s="42" t="str">
        <x:v>收齐状态</x:v>
      </x:c>
      <x:c r="G89" s="42" t="str">
        <x:v>应收款是否收齐</x:v>
      </x:c>
      <x:c r="H89" s="42" t="str">
        <x:v>状态/分类</x:v>
      </x:c>
      <x:c r="I89" s="42" t="str">
        <x:v>直接支持</x:v>
      </x:c>
      <x:c r="J89" s="42" t="str">
        <x:v>queryContractFinanceData / 应收应付</x:v>
      </x:c>
      <x:c r="K89" s="42" t="str">
        <x:v>incomeStatus</x:v>
      </x:c>
      <x:c r="L89" s="42" t="str">
        <x:v>直接使用MCP。</x:v>
      </x:c>
      <x:c r="M89" s="42" t="str"/>
      <x:c r="N89" s="42" t="str">
        <x:v>普通</x:v>
      </x:c>
      <x:c r="O89" s="42" t="str">
        <x:v>否</x:v>
      </x:c>
    </x:row>
    <x:row r="90">
      <x:c r="A90" s="42" t="n">
        <x:v>86</x:v>
      </x:c>
      <x:c r="B90" s="42" t="str">
        <x:v>业绩明细导出</x:v>
      </x:c>
      <x:c r="C90" s="42" t="str">
        <x:v>应收应付</x:v>
      </x:c>
      <x:c r="D90" s="42" t="str">
        <x:v>产权地址</x:v>
      </x:c>
      <x:c r="E90" s="42" t="str"/>
      <x:c r="F90" s="42" t="str">
        <x:v>产权地址</x:v>
      </x:c>
      <x:c r="G90" s="42" t="str">
        <x:v>合同房屋完整地址</x:v>
      </x:c>
      <x:c r="H90" s="42" t="str">
        <x:v>房屋信息</x:v>
      </x:c>
      <x:c r="I90" s="42" t="str">
        <x:v>直接支持</x:v>
      </x:c>
      <x:c r="J90" s="42" t="str">
        <x:v>queryContractFinanceData / 应收应付</x:v>
      </x:c>
      <x:c r="K90" s="42" t="str">
        <x:v>address</x:v>
      </x:c>
      <x:c r="L90" s="42" t="str">
        <x:v>直接使用MCP，公开输出时脱敏。</x:v>
      </x:c>
      <x:c r="M90" s="42" t="str"/>
      <x:c r="N90" s="42" t="str">
        <x:v>高敏</x:v>
      </x:c>
      <x:c r="O90" s="42" t="str">
        <x:v>否</x:v>
      </x:c>
    </x:row>
    <x:row r="91">
      <x:c r="A91" s="42" t="n">
        <x:v>87</x:v>
      </x:c>
      <x:c r="B91" s="42" t="str">
        <x:v>业绩明细导出</x:v>
      </x:c>
      <x:c r="C91" s="42" t="str">
        <x:v>应收应付</x:v>
      </x:c>
      <x:c r="D91" s="42" t="str">
        <x:v>房源编号</x:v>
      </x:c>
      <x:c r="E91" s="42" t="str"/>
      <x:c r="F91" s="42" t="str">
        <x:v>房源编号</x:v>
      </x:c>
      <x:c r="G91" s="42" t="str">
        <x:v>ERP房源唯一编号</x:v>
      </x:c>
      <x:c r="H91" s="42" t="str">
        <x:v>房屋标识</x:v>
      </x:c>
      <x:c r="I91" s="42" t="str">
        <x:v>直接支持</x:v>
      </x:c>
      <x:c r="J91" s="42" t="str">
        <x:v>queryContractFinanceData / 应收应付</x:v>
      </x:c>
      <x:c r="K91" s="42" t="str">
        <x:v>houseNo</x:v>
      </x:c>
      <x:c r="L91" s="42" t="str">
        <x:v>直接使用MCP。</x:v>
      </x:c>
      <x:c r="M91" s="42" t="str">
        <x:v>按文本处理，保留前导零。</x:v>
      </x:c>
      <x:c r="N91" s="42" t="str">
        <x:v>中敏</x:v>
      </x:c>
      <x:c r="O91" s="42" t="str">
        <x:v>否</x:v>
      </x:c>
    </x:row>
    <x:row r="92">
      <x:c r="A92" s="42" t="n">
        <x:v>88</x:v>
      </x:c>
      <x:c r="B92" s="42" t="str">
        <x:v>业绩明细导出</x:v>
      </x:c>
      <x:c r="C92" s="42" t="str">
        <x:v>应收应付</x:v>
      </x:c>
      <x:c r="D92" s="42" t="str">
        <x:v>小区名称门牌号</x:v>
      </x:c>
      <x:c r="E92" s="42" t="str"/>
      <x:c r="F92" s="42" t="str">
        <x:v>小区及门牌</x:v>
      </x:c>
      <x:c r="G92" s="42" t="str">
        <x:v>小区、楼栋、单元、房号组合</x:v>
      </x:c>
      <x:c r="H92" s="42" t="str">
        <x:v>房屋信息</x:v>
      </x:c>
      <x:c r="I92" s="42" t="str">
        <x:v>直接支持</x:v>
      </x:c>
      <x:c r="J92" s="42" t="str">
        <x:v>queryContractFinanceData / 应收应付</x:v>
      </x:c>
      <x:c r="K92" s="42" t="str">
        <x:v>sectionAndCell</x:v>
      </x:c>
      <x:c r="L92" s="42" t="str">
        <x:v>直接使用MCP，公开输出时脱敏。</x:v>
      </x:c>
      <x:c r="M92" s="42" t="str"/>
      <x:c r="N92" s="42" t="str">
        <x:v>高敏</x:v>
      </x:c>
      <x:c r="O92" s="42" t="str">
        <x:v>否</x:v>
      </x:c>
    </x:row>
    <x:row r="93">
      <x:c r="A93" s="42" t="n">
        <x:v>89</x:v>
      </x:c>
      <x:c r="B93" s="42" t="str">
        <x:v>业绩明细导出</x:v>
      </x:c>
      <x:c r="C93" s="42" t="str">
        <x:v>应收应付</x:v>
      </x:c>
      <x:c r="D93" s="42" t="str">
        <x:v>签约门店</x:v>
      </x:c>
      <x:c r="E93" s="42" t="str"/>
      <x:c r="F93" s="42" t="str">
        <x:v>签约部门/门店</x:v>
      </x:c>
      <x:c r="G93" s="42" t="str">
        <x:v>合同签约所属部门或门店</x:v>
      </x:c>
      <x:c r="H93" s="42" t="str">
        <x:v>组织/人事</x:v>
      </x:c>
      <x:c r="I93" s="42" t="str">
        <x:v>部分支持</x:v>
      </x:c>
      <x:c r="J93" s="42" t="str">
        <x:v>queryContractFinanceData / 应收应付</x:v>
      </x:c>
      <x:c r="K93" s="42" t="str">
        <x:v>deptName</x:v>
      </x:c>
      <x:c r="L93" s="42" t="str">
        <x:v>MCP可返回部门名；需明确门店层级时建议导出。</x:v>
      </x:c>
      <x:c r="M93" s="42" t="str">
        <x:v>组织层级未公开。</x:v>
      </x:c>
      <x:c r="N93" s="42" t="str">
        <x:v>普通</x:v>
      </x:c>
      <x:c r="O93" s="42" t="str">
        <x:v>按需</x:v>
      </x:c>
    </x:row>
    <x:row r="94">
      <x:c r="A94" s="42" t="n">
        <x:v>90</x:v>
      </x:c>
      <x:c r="B94" s="42" t="str">
        <x:v>业绩明细导出</x:v>
      </x:c>
      <x:c r="C94" s="42" t="str">
        <x:v>应收应付</x:v>
      </x:c>
      <x:c r="D94" s="42" t="str">
        <x:v>应收金额</x:v>
      </x:c>
      <x:c r="E94" s="42" t="str"/>
      <x:c r="F94" s="42" t="str">
        <x:v>应收金额</x:v>
      </x:c>
      <x:c r="G94" s="42" t="str">
        <x:v>合同应收金额</x:v>
      </x:c>
      <x:c r="H94" s="42" t="str">
        <x:v>金额</x:v>
      </x:c>
      <x:c r="I94" s="42" t="str">
        <x:v>直接支持</x:v>
      </x:c>
      <x:c r="J94" s="42" t="str">
        <x:v>queryContractFinanceData / 应收应付</x:v>
      </x:c>
      <x:c r="K94" s="42" t="str">
        <x:v>receivableAmount</x:v>
      </x:c>
      <x:c r="L94" s="42" t="str">
        <x:v>直接使用MCP。</x:v>
      </x:c>
      <x:c r="M94" s="42" t="str"/>
      <x:c r="N94" s="42" t="str">
        <x:v>中敏</x:v>
      </x:c>
      <x:c r="O94" s="42" t="str">
        <x:v>否</x:v>
      </x:c>
    </x:row>
    <x:row r="95">
      <x:c r="A95" s="42" t="n">
        <x:v>91</x:v>
      </x:c>
      <x:c r="B95" s="42" t="str">
        <x:v>业绩明细导出</x:v>
      </x:c>
      <x:c r="C95" s="42" t="str">
        <x:v>应收应付</x:v>
      </x:c>
      <x:c r="D95" s="42" t="str">
        <x:v>应收科目</x:v>
      </x:c>
      <x:c r="E95" s="42" t="str"/>
      <x:c r="F95" s="42" t="str">
        <x:v>应收科目</x:v>
      </x:c>
      <x:c r="G95" s="42" t="str">
        <x:v>佣金等应收类型</x:v>
      </x:c>
      <x:c r="H95" s="42" t="str">
        <x:v>财务科目</x:v>
      </x:c>
      <x:c r="I95" s="42" t="str">
        <x:v>直接支持</x:v>
      </x:c>
      <x:c r="J95" s="42" t="str">
        <x:v>queryContractFinanceData / 应收应付</x:v>
      </x:c>
      <x:c r="K95" s="42" t="str">
        <x:v>incomeTypeString</x:v>
      </x:c>
      <x:c r="L95" s="42" t="str">
        <x:v>直接使用MCP。</x:v>
      </x:c>
      <x:c r="M95" s="42" t="str"/>
      <x:c r="N95" s="42" t="str">
        <x:v>普通</x:v>
      </x:c>
      <x:c r="O95" s="42" t="str">
        <x:v>否</x:v>
      </x:c>
    </x:row>
    <x:row r="96">
      <x:c r="A96" s="42" t="n">
        <x:v>92</x:v>
      </x:c>
      <x:c r="B96" s="42" t="str">
        <x:v>业绩明细导出</x:v>
      </x:c>
      <x:c r="C96" s="42" t="str">
        <x:v>应收应付</x:v>
      </x:c>
      <x:c r="D96" s="42" t="str">
        <x:v>应付科目</x:v>
      </x:c>
      <x:c r="E96" s="42" t="str"/>
      <x:c r="F96" s="42" t="str">
        <x:v>应付科目</x:v>
      </x:c>
      <x:c r="G96" s="42" t="str">
        <x:v>平台建设费、代办费等应付类型</x:v>
      </x:c>
      <x:c r="H96" s="42" t="str">
        <x:v>财务科目</x:v>
      </x:c>
      <x:c r="I96" s="42" t="str">
        <x:v>直接支持</x:v>
      </x:c>
      <x:c r="J96" s="42" t="str">
        <x:v>queryContractFinanceData / 应收应付</x:v>
      </x:c>
      <x:c r="K96" s="42" t="str">
        <x:v>payableTypeString</x:v>
      </x:c>
      <x:c r="L96" s="42" t="str">
        <x:v>直接使用MCP。</x:v>
      </x:c>
      <x:c r="M96" s="42" t="str"/>
      <x:c r="N96" s="42" t="str">
        <x:v>普通</x:v>
      </x:c>
      <x:c r="O96" s="42" t="str">
        <x:v>否</x:v>
      </x:c>
    </x:row>
    <x:row r="97">
      <x:c r="A97" s="42" t="n">
        <x:v>93</x:v>
      </x:c>
      <x:c r="B97" s="42" t="str">
        <x:v>业绩明细导出</x:v>
      </x:c>
      <x:c r="C97" s="42" t="str">
        <x:v>应收应付</x:v>
      </x:c>
      <x:c r="D97" s="42" t="str">
        <x:v>应付金额</x:v>
      </x:c>
      <x:c r="E97" s="42" t="str"/>
      <x:c r="F97" s="42" t="str">
        <x:v>应付金额</x:v>
      </x:c>
      <x:c r="G97" s="42" t="str">
        <x:v>对应应付科目的金额</x:v>
      </x:c>
      <x:c r="H97" s="42" t="str">
        <x:v>金额</x:v>
      </x:c>
      <x:c r="I97" s="42" t="str">
        <x:v>直接支持</x:v>
      </x:c>
      <x:c r="J97" s="42" t="str">
        <x:v>queryContractFinanceData / 应收应付</x:v>
      </x:c>
      <x:c r="K97" s="42" t="str">
        <x:v>payableAmount</x:v>
      </x:c>
      <x:c r="L97" s="42" t="str">
        <x:v>直接使用MCP。</x:v>
      </x:c>
      <x:c r="M97" s="42" t="str"/>
      <x:c r="N97" s="42" t="str">
        <x:v>中敏</x:v>
      </x:c>
      <x:c r="O97" s="42" t="str">
        <x:v>否</x:v>
      </x:c>
    </x:row>
    <x:row r="98">
      <x:c r="A98" s="42" t="n">
        <x:v>94</x:v>
      </x:c>
      <x:c r="B98" s="42" t="str">
        <x:v>业绩明细导出</x:v>
      </x:c>
      <x:c r="C98" s="42" t="str">
        <x:v>应收应付</x:v>
      </x:c>
      <x:c r="D98" s="42" t="str">
        <x:v>签约日期</x:v>
      </x:c>
      <x:c r="E98" s="42" t="str"/>
      <x:c r="F98" s="42" t="str">
        <x:v>签约日期</x:v>
      </x:c>
      <x:c r="G98" s="42" t="str">
        <x:v>合同签署日期</x:v>
      </x:c>
      <x:c r="H98" s="42" t="str">
        <x:v>日期</x:v>
      </x:c>
      <x:c r="I98" s="42" t="str">
        <x:v>直接支持</x:v>
      </x:c>
      <x:c r="J98" s="42" t="str">
        <x:v>queryContractFinanceData / 应收应付</x:v>
      </x:c>
      <x:c r="K98" s="42" t="str">
        <x:v>contractDate</x:v>
      </x:c>
      <x:c r="L98" s="42" t="str">
        <x:v>直接使用MCP。</x:v>
      </x:c>
      <x:c r="M98" s="42" t="str">
        <x:v>该类型工具说明按签约日期筛选。</x:v>
      </x:c>
      <x:c r="N98" s="42" t="str">
        <x:v>普通</x:v>
      </x:c>
      <x:c r="O98" s="42" t="str">
        <x:v>否</x:v>
      </x:c>
    </x:row>
    <x:row r="99">
      <x:c r="A99" s="42" t="n">
        <x:v>95</x:v>
      </x:c>
      <x:c r="B99" s="42" t="str">
        <x:v>业绩明细导出</x:v>
      </x:c>
      <x:c r="C99" s="42" t="str">
        <x:v>业绩分配</x:v>
      </x:c>
      <x:c r="D99" s="42" t="str">
        <x:v>合同类型</x:v>
      </x:c>
      <x:c r="E99" s="42" t="str"/>
      <x:c r="F99" s="42" t="str">
        <x:v>合同类型</x:v>
      </x:c>
      <x:c r="G99" s="42" t="str">
        <x:v>合同所属业务类型</x:v>
      </x:c>
      <x:c r="H99" s="42" t="str">
        <x:v>合同标识</x:v>
      </x:c>
      <x:c r="I99" s="42" t="str">
        <x:v>直接支持</x:v>
      </x:c>
      <x:c r="J99" s="42" t="str">
        <x:v>queryContractFinanceData / 业绩分配</x:v>
      </x:c>
      <x:c r="K99" s="42" t="str">
        <x:v>contractType</x:v>
      </x:c>
      <x:c r="L99" s="42" t="str">
        <x:v>直接使用MCP。</x:v>
      </x:c>
      <x:c r="M99" s="42" t="str">
        <x:v>与合同编号组成合同唯一键。</x:v>
      </x:c>
      <x:c r="N99" s="42" t="str">
        <x:v>普通</x:v>
      </x:c>
      <x:c r="O99" s="42" t="str">
        <x:v>否</x:v>
      </x:c>
    </x:row>
    <x:row r="100">
      <x:c r="A100" s="42" t="n">
        <x:v>96</x:v>
      </x:c>
      <x:c r="B100" s="42" t="str">
        <x:v>业绩明细导出</x:v>
      </x:c>
      <x:c r="C100" s="42" t="str">
        <x:v>业绩分配</x:v>
      </x:c>
      <x:c r="D100" s="42" t="str">
        <x:v>合同编号</x:v>
      </x:c>
      <x:c r="E100" s="42" t="str"/>
      <x:c r="F100" s="42" t="str">
        <x:v>合同编号</x:v>
      </x:c>
      <x:c r="G100" s="42" t="str">
        <x:v>合同编号</x:v>
      </x:c>
      <x:c r="H100" s="42" t="str">
        <x:v>合同标识</x:v>
      </x:c>
      <x:c r="I100" s="42" t="str">
        <x:v>直接支持</x:v>
      </x:c>
      <x:c r="J100" s="42" t="str">
        <x:v>queryContractFinanceData / 业绩分配</x:v>
      </x:c>
      <x:c r="K100" s="42" t="str">
        <x:v>contractNo</x:v>
      </x:c>
      <x:c r="L100" s="42" t="str">
        <x:v>直接使用MCP。</x:v>
      </x:c>
      <x:c r="M100" s="42" t="str">
        <x:v>按文本清理首尾空格。</x:v>
      </x:c>
      <x:c r="N100" s="42" t="str">
        <x:v>中敏</x:v>
      </x:c>
      <x:c r="O100" s="42" t="str">
        <x:v>否</x:v>
      </x:c>
    </x:row>
    <x:row r="101">
      <x:c r="A101" s="42" t="n">
        <x:v>97</x:v>
      </x:c>
      <x:c r="B101" s="42" t="str">
        <x:v>业绩明细导出</x:v>
      </x:c>
      <x:c r="C101" s="42" t="str">
        <x:v>业绩分配</x:v>
      </x:c>
      <x:c r="D101" s="42" t="str">
        <x:v>结单状态</x:v>
      </x:c>
      <x:c r="E101" s="42" t="str"/>
      <x:c r="F101" s="42" t="str">
        <x:v>结单状态</x:v>
      </x:c>
      <x:c r="G101" s="42" t="str">
        <x:v>合同是否结单</x:v>
      </x:c>
      <x:c r="H101" s="42" t="str">
        <x:v>状态/分类</x:v>
      </x:c>
      <x:c r="I101" s="42" t="str">
        <x:v>直接支持</x:v>
      </x:c>
      <x:c r="J101" s="42" t="str">
        <x:v>queryContractFinanceData / 业绩分配</x:v>
      </x:c>
      <x:c r="K101" s="42" t="str">
        <x:v>finishStatus</x:v>
      </x:c>
      <x:c r="L101" s="42" t="str">
        <x:v>直接使用MCP。</x:v>
      </x:c>
      <x:c r="M101" s="42" t="str"/>
      <x:c r="N101" s="42" t="str">
        <x:v>普通</x:v>
      </x:c>
      <x:c r="O101" s="42" t="str">
        <x:v>否</x:v>
      </x:c>
    </x:row>
    <x:row r="102">
      <x:c r="A102" s="42" t="n">
        <x:v>98</x:v>
      </x:c>
      <x:c r="B102" s="42" t="str">
        <x:v>业绩明细导出</x:v>
      </x:c>
      <x:c r="C102" s="42" t="str">
        <x:v>业绩分配</x:v>
      </x:c>
      <x:c r="D102" s="42" t="str">
        <x:v>结单时间</x:v>
      </x:c>
      <x:c r="E102" s="42" t="str"/>
      <x:c r="F102" s="42" t="str">
        <x:v>结单日期</x:v>
      </x:c>
      <x:c r="G102" s="42" t="str">
        <x:v>合同结单时间</x:v>
      </x:c>
      <x:c r="H102" s="42" t="str">
        <x:v>日期</x:v>
      </x:c>
      <x:c r="I102" s="42" t="str">
        <x:v>直接支持</x:v>
      </x:c>
      <x:c r="J102" s="42" t="str">
        <x:v>queryContractFinanceData / 业绩分配</x:v>
      </x:c>
      <x:c r="K102" s="42" t="str">
        <x:v>finishTime</x:v>
      </x:c>
      <x:c r="L102" s="42" t="str">
        <x:v>直接使用MCP。</x:v>
      </x:c>
      <x:c r="M102" s="42" t="str"/>
      <x:c r="N102" s="42" t="str">
        <x:v>普通</x:v>
      </x:c>
      <x:c r="O102" s="42" t="str">
        <x:v>否</x:v>
      </x:c>
    </x:row>
    <x:row r="103">
      <x:c r="A103" s="42" t="n">
        <x:v>99</x:v>
      </x:c>
      <x:c r="B103" s="42" t="str">
        <x:v>业绩明细导出</x:v>
      </x:c>
      <x:c r="C103" s="42" t="str">
        <x:v>业绩分配</x:v>
      </x:c>
      <x:c r="D103" s="42" t="str">
        <x:v>收齐状态</x:v>
      </x:c>
      <x:c r="E103" s="42" t="str"/>
      <x:c r="F103" s="42" t="str">
        <x:v>收齐状态</x:v>
      </x:c>
      <x:c r="G103" s="42" t="str">
        <x:v>合同款项是否收齐</x:v>
      </x:c>
      <x:c r="H103" s="42" t="str">
        <x:v>状态/分类</x:v>
      </x:c>
      <x:c r="I103" s="42" t="str">
        <x:v>直接支持</x:v>
      </x:c>
      <x:c r="J103" s="42" t="str">
        <x:v>queryContractFinanceData / 业绩分配</x:v>
      </x:c>
      <x:c r="K103" s="42" t="str">
        <x:v>incomeStatus</x:v>
      </x:c>
      <x:c r="L103" s="42" t="str">
        <x:v>直接使用MCP。</x:v>
      </x:c>
      <x:c r="M103" s="42" t="str"/>
      <x:c r="N103" s="42" t="str">
        <x:v>普通</x:v>
      </x:c>
      <x:c r="O103" s="42" t="str">
        <x:v>否</x:v>
      </x:c>
    </x:row>
    <x:row r="104">
      <x:c r="A104" s="42" t="n">
        <x:v>100</x:v>
      </x:c>
      <x:c r="B104" s="42" t="str">
        <x:v>业绩明细导出</x:v>
      </x:c>
      <x:c r="C104" s="42" t="str">
        <x:v>业绩分配</x:v>
      </x:c>
      <x:c r="D104" s="42" t="str">
        <x:v>产权地址</x:v>
      </x:c>
      <x:c r="E104" s="42" t="str"/>
      <x:c r="F104" s="42" t="str">
        <x:v>产权地址</x:v>
      </x:c>
      <x:c r="G104" s="42" t="str">
        <x:v>合同房屋完整地址</x:v>
      </x:c>
      <x:c r="H104" s="42" t="str">
        <x:v>房屋信息</x:v>
      </x:c>
      <x:c r="I104" s="42" t="str">
        <x:v>直接支持</x:v>
      </x:c>
      <x:c r="J104" s="42" t="str">
        <x:v>queryContractFinanceData / 业绩分配</x:v>
      </x:c>
      <x:c r="K104" s="42" t="str">
        <x:v>address</x:v>
      </x:c>
      <x:c r="L104" s="42" t="str">
        <x:v>直接使用MCP，公开输出时脱敏。</x:v>
      </x:c>
      <x:c r="M104" s="42" t="str"/>
      <x:c r="N104" s="42" t="str">
        <x:v>高敏</x:v>
      </x:c>
      <x:c r="O104" s="42" t="str">
        <x:v>否</x:v>
      </x:c>
    </x:row>
    <x:row r="105">
      <x:c r="A105" s="42" t="n">
        <x:v>101</x:v>
      </x:c>
      <x:c r="B105" s="42" t="str">
        <x:v>业绩明细导出</x:v>
      </x:c>
      <x:c r="C105" s="42" t="str">
        <x:v>业绩分配</x:v>
      </x:c>
      <x:c r="D105" s="42" t="str">
        <x:v>房源编号</x:v>
      </x:c>
      <x:c r="E105" s="42" t="str"/>
      <x:c r="F105" s="42" t="str">
        <x:v>房源编号</x:v>
      </x:c>
      <x:c r="G105" s="42" t="str">
        <x:v>ERP房源唯一编号</x:v>
      </x:c>
      <x:c r="H105" s="42" t="str">
        <x:v>房屋标识</x:v>
      </x:c>
      <x:c r="I105" s="42" t="str">
        <x:v>直接支持</x:v>
      </x:c>
      <x:c r="J105" s="42" t="str">
        <x:v>queryContractFinanceData / 业绩分配</x:v>
      </x:c>
      <x:c r="K105" s="42" t="str">
        <x:v>houseNo</x:v>
      </x:c>
      <x:c r="L105" s="42" t="str">
        <x:v>直接使用MCP。</x:v>
      </x:c>
      <x:c r="M105" s="42" t="str">
        <x:v>按文本处理。</x:v>
      </x:c>
      <x:c r="N105" s="42" t="str">
        <x:v>中敏</x:v>
      </x:c>
      <x:c r="O105" s="42" t="str">
        <x:v>否</x:v>
      </x:c>
    </x:row>
    <x:row r="106">
      <x:c r="A106" s="42" t="n">
        <x:v>102</x:v>
      </x:c>
      <x:c r="B106" s="42" t="str">
        <x:v>业绩明细导出</x:v>
      </x:c>
      <x:c r="C106" s="42" t="str">
        <x:v>业绩分配</x:v>
      </x:c>
      <x:c r="D106" s="42" t="str">
        <x:v>小区名称门牌号</x:v>
      </x:c>
      <x:c r="E106" s="42" t="str"/>
      <x:c r="F106" s="42" t="str">
        <x:v>小区及门牌</x:v>
      </x:c>
      <x:c r="G106" s="42" t="str">
        <x:v>小区、楼栋、单元、房号组合</x:v>
      </x:c>
      <x:c r="H106" s="42" t="str">
        <x:v>房屋信息</x:v>
      </x:c>
      <x:c r="I106" s="42" t="str">
        <x:v>直接支持</x:v>
      </x:c>
      <x:c r="J106" s="42" t="str">
        <x:v>queryContractFinanceData / 业绩分配</x:v>
      </x:c>
      <x:c r="K106" s="42" t="str">
        <x:v>sectionAndCell</x:v>
      </x:c>
      <x:c r="L106" s="42" t="str">
        <x:v>直接使用MCP，公开输出时脱敏。</x:v>
      </x:c>
      <x:c r="M106" s="42" t="str"/>
      <x:c r="N106" s="42" t="str">
        <x:v>高敏</x:v>
      </x:c>
      <x:c r="O106" s="42" t="str">
        <x:v>否</x:v>
      </x:c>
    </x:row>
    <x:row r="107">
      <x:c r="A107" s="42" t="n">
        <x:v>103</x:v>
      </x:c>
      <x:c r="B107" s="42" t="str">
        <x:v>业绩明细导出</x:v>
      </x:c>
      <x:c r="C107" s="42" t="str">
        <x:v>业绩分配</x:v>
      </x:c>
      <x:c r="D107" s="42" t="str">
        <x:v>签约门店</x:v>
      </x:c>
      <x:c r="E107" s="42" t="str"/>
      <x:c r="F107" s="42" t="str">
        <x:v>签约部门/门店</x:v>
      </x:c>
      <x:c r="G107" s="42" t="str">
        <x:v>合同签约所属部门或门店</x:v>
      </x:c>
      <x:c r="H107" s="42" t="str">
        <x:v>组织/人事</x:v>
      </x:c>
      <x:c r="I107" s="42" t="str">
        <x:v>部分支持</x:v>
      </x:c>
      <x:c r="J107" s="42" t="str">
        <x:v>queryContractFinanceData / 业绩分配</x:v>
      </x:c>
      <x:c r="K107" s="42" t="str">
        <x:v>deptName</x:v>
      </x:c>
      <x:c r="L107" s="42" t="str">
        <x:v>MCP可返回部门名；需明确门店层级时建议导出。</x:v>
      </x:c>
      <x:c r="M107" s="42" t="str">
        <x:v>组织层级未公开。</x:v>
      </x:c>
      <x:c r="N107" s="42" t="str">
        <x:v>普通</x:v>
      </x:c>
      <x:c r="O107" s="42" t="str">
        <x:v>按需</x:v>
      </x:c>
    </x:row>
    <x:row r="108">
      <x:c r="A108" s="42" t="n">
        <x:v>104</x:v>
      </x:c>
      <x:c r="B108" s="42" t="str">
        <x:v>业绩明细导出</x:v>
      </x:c>
      <x:c r="C108" s="42" t="str">
        <x:v>业绩分配</x:v>
      </x:c>
      <x:c r="D108" s="42" t="str">
        <x:v>经纪人</x:v>
      </x:c>
      <x:c r="E108" s="42" t="str"/>
      <x:c r="F108" s="42" t="str">
        <x:v>业绩人员</x:v>
      </x:c>
      <x:c r="G108" s="42" t="str">
        <x:v>获得该条业绩分配的人员</x:v>
      </x:c>
      <x:c r="H108" s="42" t="str">
        <x:v>人员</x:v>
      </x:c>
      <x:c r="I108" s="42" t="str">
        <x:v>直接支持</x:v>
      </x:c>
      <x:c r="J108" s="42" t="str">
        <x:v>queryContractFinanceData / 业绩分配</x:v>
      </x:c>
      <x:c r="K108" s="42" t="str">
        <x:v>userName</x:v>
      </x:c>
      <x:c r="L108" s="42" t="str">
        <x:v>直接使用MCP。</x:v>
      </x:c>
      <x:c r="M108" s="42" t="str">
        <x:v>同名人员匹配时必须结合组织字段。</x:v>
      </x:c>
      <x:c r="N108" s="42" t="str">
        <x:v>中敏</x:v>
      </x:c>
      <x:c r="O108" s="42" t="str">
        <x:v>否</x:v>
      </x:c>
    </x:row>
    <x:row r="109">
      <x:c r="A109" s="42" t="n">
        <x:v>105</x:v>
      </x:c>
      <x:c r="B109" s="42" t="str">
        <x:v>业绩明细导出</x:v>
      </x:c>
      <x:c r="C109" s="42" t="str">
        <x:v>业绩分配</x:v>
      </x:c>
      <x:c r="D109" s="42" t="str">
        <x:v>业绩门店</x:v>
      </x:c>
      <x:c r="E109" s="42" t="str"/>
      <x:c r="F109" s="42" t="str">
        <x:v>业绩部门/门店</x:v>
      </x:c>
      <x:c r="G109" s="42" t="str">
        <x:v>业绩人员所属分配部门或门店</x:v>
      </x:c>
      <x:c r="H109" s="42" t="str">
        <x:v>组织/人事</x:v>
      </x:c>
      <x:c r="I109" s="42" t="str">
        <x:v>部分支持</x:v>
      </x:c>
      <x:c r="J109" s="42" t="str">
        <x:v>queryContractFinanceData / 业绩分配</x:v>
      </x:c>
      <x:c r="K109" s="42" t="str">
        <x:v>assignDeptName</x:v>
      </x:c>
      <x:c r="L109" s="42" t="str">
        <x:v>MCP返回分配部门，但无法保证是门店层级；需精确层级时导出。</x:v>
      </x:c>
      <x:c r="M109" s="42" t="str"/>
      <x:c r="N109" s="42" t="str">
        <x:v>普通</x:v>
      </x:c>
      <x:c r="O109" s="42" t="str">
        <x:v>按需</x:v>
      </x:c>
    </x:row>
    <x:row r="110">
      <x:c r="A110" s="42" t="n">
        <x:v>106</x:v>
      </x:c>
      <x:c r="B110" s="42" t="str">
        <x:v>业绩明细导出</x:v>
      </x:c>
      <x:c r="C110" s="42" t="str">
        <x:v>业绩分配</x:v>
      </x:c>
      <x:c r="D110" s="42" t="str">
        <x:v>业绩小组</x:v>
      </x:c>
      <x:c r="E110" s="42" t="str"/>
      <x:c r="F110" s="42" t="str">
        <x:v>业绩小组</x:v>
      </x:c>
      <x:c r="G110" s="42" t="str">
        <x:v>业绩人员所属小组</x:v>
      </x:c>
      <x:c r="H110" s="42" t="str">
        <x:v>组织/人事</x:v>
      </x:c>
      <x:c r="I110" s="42" t="str">
        <x:v>不支持</x:v>
      </x:c>
      <x:c r="J110" s="42" t="str"/>
      <x:c r="K110" s="42" t="str"/>
      <x:c r="L110" s="42" t="str">
        <x:v>需要客户导出业绩分配表。</x:v>
      </x:c>
      <x:c r="M110" s="42" t="str">
        <x:v>MCP没有独立业绩小组字段。</x:v>
      </x:c>
      <x:c r="N110" s="42" t="str">
        <x:v>普通</x:v>
      </x:c>
      <x:c r="O110" s="42" t="str">
        <x:v>是</x:v>
      </x:c>
    </x:row>
    <x:row r="111">
      <x:c r="A111" s="42" t="n">
        <x:v>107</x:v>
      </x:c>
      <x:c r="B111" s="42" t="str">
        <x:v>业绩明细导出</x:v>
      </x:c>
      <x:c r="C111" s="42" t="str">
        <x:v>业绩分配</x:v>
      </x:c>
      <x:c r="D111" s="42" t="str">
        <x:v>应收科目</x:v>
      </x:c>
      <x:c r="E111" s="42" t="str"/>
      <x:c r="F111" s="42" t="str">
        <x:v>业绩科目</x:v>
      </x:c>
      <x:c r="G111" s="42" t="str">
        <x:v>佣金、贷款服务费等业绩类型</x:v>
      </x:c>
      <x:c r="H111" s="42" t="str">
        <x:v>财务科目</x:v>
      </x:c>
      <x:c r="I111" s="42" t="str">
        <x:v>直接支持</x:v>
      </x:c>
      <x:c r="J111" s="42" t="str">
        <x:v>queryContractFinanceData / 业绩分配</x:v>
      </x:c>
      <x:c r="K111" s="42" t="str">
        <x:v>incomeTypeString</x:v>
      </x:c>
      <x:c r="L111" s="42" t="str">
        <x:v>直接使用MCP。</x:v>
      </x:c>
      <x:c r="M111" s="42" t="str"/>
      <x:c r="N111" s="42" t="str">
        <x:v>普通</x:v>
      </x:c>
      <x:c r="O111" s="42" t="str">
        <x:v>否</x:v>
      </x:c>
    </x:row>
    <x:row r="112">
      <x:c r="A112" s="42" t="n">
        <x:v>108</x:v>
      </x:c>
      <x:c r="B112" s="42" t="str">
        <x:v>业绩明细导出</x:v>
      </x:c>
      <x:c r="C112" s="42" t="str">
        <x:v>业绩分配</x:v>
      </x:c>
      <x:c r="D112" s="42" t="str">
        <x:v>分配类型</x:v>
      </x:c>
      <x:c r="E112" s="42" t="str"/>
      <x:c r="F112" s="42" t="str">
        <x:v>分配类型</x:v>
      </x:c>
      <x:c r="G112" s="42" t="str">
        <x:v>签约人、成交人、维护人等分配角色</x:v>
      </x:c>
      <x:c r="H112" s="42" t="str">
        <x:v>状态/分类</x:v>
      </x:c>
      <x:c r="I112" s="42" t="str">
        <x:v>直接支持</x:v>
      </x:c>
      <x:c r="J112" s="42" t="str">
        <x:v>queryContractFinanceData / 业绩分配</x:v>
      </x:c>
      <x:c r="K112" s="42" t="str">
        <x:v>assignType</x:v>
      </x:c>
      <x:c r="L112" s="42" t="str">
        <x:v>直接使用MCP。</x:v>
      </x:c>
      <x:c r="M112" s="42" t="str"/>
      <x:c r="N112" s="42" t="str">
        <x:v>普通</x:v>
      </x:c>
      <x:c r="O112" s="42" t="str">
        <x:v>否</x:v>
      </x:c>
    </x:row>
    <x:row r="113">
      <x:c r="A113" s="42" t="n">
        <x:v>109</x:v>
      </x:c>
      <x:c r="B113" s="42" t="str">
        <x:v>业绩明细导出</x:v>
      </x:c>
      <x:c r="C113" s="42" t="str">
        <x:v>业绩分配</x:v>
      </x:c>
      <x:c r="D113" s="42" t="str">
        <x:v>分配比例</x:v>
      </x:c>
      <x:c r="E113" s="42" t="str"/>
      <x:c r="F113" s="42" t="str">
        <x:v>分配比例</x:v>
      </x:c>
      <x:c r="G113" s="42" t="str">
        <x:v>该人员获得的分配比例</x:v>
      </x:c>
      <x:c r="H113" s="42" t="str">
        <x:v>比例</x:v>
      </x:c>
      <x:c r="I113" s="42" t="str">
        <x:v>直接支持</x:v>
      </x:c>
      <x:c r="J113" s="42" t="str">
        <x:v>queryContractFinanceData / 业绩分配</x:v>
      </x:c>
      <x:c r="K113" s="42" t="str">
        <x:v>assignRate</x:v>
      </x:c>
      <x:c r="L113" s="42" t="str">
        <x:v>直接使用MCP。</x:v>
      </x:c>
      <x:c r="M113" s="42" t="str">
        <x:v>返回值可能为百分比文本或0，计算前标准化。</x:v>
      </x:c>
      <x:c r="N113" s="42" t="str">
        <x:v>普通</x:v>
      </x:c>
      <x:c r="O113" s="42" t="str">
        <x:v>否</x:v>
      </x:c>
    </x:row>
    <x:row r="114">
      <x:c r="A114" s="42" t="n">
        <x:v>110</x:v>
      </x:c>
      <x:c r="B114" s="42" t="str">
        <x:v>业绩明细导出</x:v>
      </x:c>
      <x:c r="C114" s="42" t="str">
        <x:v>业绩分配</x:v>
      </x:c>
      <x:c r="D114" s="42" t="str">
        <x:v>分配业绩</x:v>
      </x:c>
      <x:c r="E114" s="42" t="str"/>
      <x:c r="F114" s="42" t="str">
        <x:v>分配金额</x:v>
      </x:c>
      <x:c r="G114" s="42" t="str">
        <x:v>该人员获得的业绩金额</x:v>
      </x:c>
      <x:c r="H114" s="42" t="str">
        <x:v>金额</x:v>
      </x:c>
      <x:c r="I114" s="42" t="str">
        <x:v>直接支持</x:v>
      </x:c>
      <x:c r="J114" s="42" t="str">
        <x:v>queryContractFinanceData / 业绩分配</x:v>
      </x:c>
      <x:c r="K114" s="42" t="str">
        <x:v>assignAmount</x:v>
      </x:c>
      <x:c r="L114" s="42" t="str">
        <x:v>直接使用MCP。</x:v>
      </x:c>
      <x:c r="M114" s="42" t="str"/>
      <x:c r="N114" s="42" t="str">
        <x:v>中敏</x:v>
      </x:c>
      <x:c r="O114" s="42" t="str">
        <x:v>否</x:v>
      </x:c>
    </x:row>
    <x:row r="115">
      <x:c r="A115" s="42" t="n">
        <x:v>111</x:v>
      </x:c>
      <x:c r="B115" s="42" t="str">
        <x:v>业绩明细导出</x:v>
      </x:c>
      <x:c r="C115" s="42" t="str">
        <x:v>业绩分配</x:v>
      </x:c>
      <x:c r="D115" s="42" t="str">
        <x:v>总实收佣金</x:v>
      </x:c>
      <x:c r="E115" s="42" t="str"/>
      <x:c r="F115" s="42" t="str">
        <x:v>合同总实收佣金</x:v>
      </x:c>
      <x:c r="G115" s="42" t="str">
        <x:v>该合同累计实收佣金</x:v>
      </x:c>
      <x:c r="H115" s="42" t="str">
        <x:v>金额</x:v>
      </x:c>
      <x:c r="I115" s="42" t="str">
        <x:v>组合计算</x:v>
      </x:c>
      <x:c r="J115" s="42" t="str">
        <x:v>queryContractFinanceData / 实收明细</x:v>
      </x:c>
      <x:c r="K115" s="42" t="str">
        <x:v>按合同键汇总 amount（科目=佣金）</x:v>
      </x:c>
      <x:c r="L115" s="42" t="str">
        <x:v>优先用实收明细按合同类型+合同编号汇总；需要与导出字段完全核对时可导出。</x:v>
      </x:c>
      <x:c r="M115" s="42" t="str">
        <x:v>需确认退款、审核状态和科目范围。</x:v>
      </x:c>
      <x:c r="N115" s="42" t="str">
        <x:v>中敏</x:v>
      </x:c>
      <x:c r="O115" s="42" t="str">
        <x:v>可选</x:v>
      </x:c>
    </x:row>
    <x:row r="116">
      <x:c r="A116" s="42" t="n">
        <x:v>112</x:v>
      </x:c>
      <x:c r="B116" s="42" t="str">
        <x:v>业绩明细导出</x:v>
      </x:c>
      <x:c r="C116" s="42" t="str">
        <x:v>业绩分配</x:v>
      </x:c>
      <x:c r="D116" s="42" t="str">
        <x:v>总实收业绩</x:v>
      </x:c>
      <x:c r="E116" s="42" t="str"/>
      <x:c r="F116" s="42" t="str">
        <x:v>实收业绩</x:v>
      </x:c>
      <x:c r="G116" s="42" t="str">
        <x:v>该条分配对应的已实收业绩</x:v>
      </x:c>
      <x:c r="H116" s="42" t="str">
        <x:v>金额</x:v>
      </x:c>
      <x:c r="I116" s="42" t="str">
        <x:v>不支持</x:v>
      </x:c>
      <x:c r="J116" s="42" t="str"/>
      <x:c r="K116" s="42" t="str"/>
      <x:c r="L116" s="42" t="str">
        <x:v>需要客户导出业绩分配表。</x:v>
      </x:c>
      <x:c r="M116" s="42" t="str">
        <x:v>MCP仅列出分配金额，未暴露已实收业绩字段，不能直接等同。</x:v>
      </x:c>
      <x:c r="N116" s="42" t="str">
        <x:v>中敏</x:v>
      </x:c>
      <x:c r="O116" s="42" t="str">
        <x:v>是</x:v>
      </x:c>
    </x:row>
    <x:row r="117">
      <x:c r="A117" s="42" t="n">
        <x:v>113</x:v>
      </x:c>
      <x:c r="B117" s="42" t="str">
        <x:v>业绩明细导出</x:v>
      </x:c>
      <x:c r="C117" s="42" t="str">
        <x:v>业绩分配</x:v>
      </x:c>
      <x:c r="D117" s="42" t="str">
        <x:v>备注</x:v>
      </x:c>
      <x:c r="E117" s="42" t="str"/>
      <x:c r="F117" s="42" t="str">
        <x:v>业绩备注</x:v>
      </x:c>
      <x:c r="G117" s="42" t="str">
        <x:v>业绩分配补充说明</x:v>
      </x:c>
      <x:c r="H117" s="42" t="str">
        <x:v>文本备注</x:v>
      </x:c>
      <x:c r="I117" s="42" t="str">
        <x:v>直接支持</x:v>
      </x:c>
      <x:c r="J117" s="42" t="str">
        <x:v>queryContractFinanceData / 业绩分配</x:v>
      </x:c>
      <x:c r="K117" s="42" t="str">
        <x:v>remark</x:v>
      </x:c>
      <x:c r="L117" s="42" t="str">
        <x:v>直接使用MCP，按需脱敏。</x:v>
      </x:c>
      <x:c r="M117" s="42" t="str"/>
      <x:c r="N117" s="42" t="str">
        <x:v>中敏</x:v>
      </x:c>
      <x:c r="O117" s="42" t="str">
        <x:v>否</x:v>
      </x:c>
    </x:row>
    <x:row r="118">
      <x:c r="A118" s="42" t="n">
        <x:v>114</x:v>
      </x:c>
      <x:c r="B118" s="42" t="str">
        <x:v>业绩明细导出</x:v>
      </x:c>
      <x:c r="C118" s="42" t="str">
        <x:v>业绩分配</x:v>
      </x:c>
      <x:c r="D118" s="42" t="str">
        <x:v>签约日期</x:v>
      </x:c>
      <x:c r="E118" s="42" t="str"/>
      <x:c r="F118" s="42" t="str">
        <x:v>签约日期</x:v>
      </x:c>
      <x:c r="G118" s="42" t="str">
        <x:v>合同签署日期</x:v>
      </x:c>
      <x:c r="H118" s="42" t="str">
        <x:v>日期</x:v>
      </x:c>
      <x:c r="I118" s="42" t="str">
        <x:v>直接支持</x:v>
      </x:c>
      <x:c r="J118" s="42" t="str">
        <x:v>queryContractFinanceData / 业绩分配</x:v>
      </x:c>
      <x:c r="K118" s="42" t="str">
        <x:v>contractDate</x:v>
      </x:c>
      <x:c r="L118" s="42" t="str">
        <x:v>直接使用MCP。</x:v>
      </x:c>
      <x:c r="M118" s="42" t="str">
        <x:v>该类型工具说明按签约日期筛选。</x:v>
      </x:c>
      <x:c r="N118" s="42" t="str">
        <x:v>普通</x:v>
      </x:c>
      <x:c r="O118" s="42" t="str">
        <x:v>否</x:v>
      </x:c>
    </x:row>
    <x:row r="119">
      <x:c r="A119" s="42" t="n">
        <x:v>115</x:v>
      </x:c>
      <x:c r="B119" s="42" t="str">
        <x:v>人员信息导出</x:v>
      </x:c>
      <x:c r="C119" s="42" t="str">
        <x:v>汇总</x:v>
      </x:c>
      <x:c r="D119" s="42" t="str">
        <x:v>运营</x:v>
      </x:c>
      <x:c r="E119" s="42" t="str"/>
      <x:c r="F119" s="42" t="str">
        <x:v>运营层级</x:v>
      </x:c>
      <x:c r="G119" s="42" t="str">
        <x:v>组织架构中的运营层级</x:v>
      </x:c>
      <x:c r="H119" s="42" t="str">
        <x:v>组织/人事</x:v>
      </x:c>
      <x:c r="I119" s="42" t="str">
        <x:v>不支持</x:v>
      </x:c>
      <x:c r="J119" s="42" t="str"/>
      <x:c r="K119" s="42" t="str"/>
      <x:c r="L119" s="42" t="str">
        <x:v>必须导出人员信息汇总或人员列表。</x:v>
      </x:c>
      <x:c r="M119" s="42" t="str">
        <x:v>MCP没有完整组织架构树。</x:v>
      </x:c>
      <x:c r="N119" s="42" t="str">
        <x:v>普通</x:v>
      </x:c>
      <x:c r="O119" s="42" t="str">
        <x:v>是</x:v>
      </x:c>
    </x:row>
    <x:row r="120">
      <x:c r="A120" s="42" t="n">
        <x:v>116</x:v>
      </x:c>
      <x:c r="B120" s="42" t="str">
        <x:v>人员信息导出</x:v>
      </x:c>
      <x:c r="C120" s="42" t="str">
        <x:v>汇总</x:v>
      </x:c>
      <x:c r="D120" s="42" t="str">
        <x:v>大区</x:v>
      </x:c>
      <x:c r="E120" s="42" t="str"/>
      <x:c r="F120" s="42" t="str">
        <x:v>大区</x:v>
      </x:c>
      <x:c r="G120" s="42" t="str">
        <x:v>组织架构中的大区层级</x:v>
      </x:c>
      <x:c r="H120" s="42" t="str">
        <x:v>组织/人事</x:v>
      </x:c>
      <x:c r="I120" s="42" t="str">
        <x:v>不支持</x:v>
      </x:c>
      <x:c r="J120" s="42" t="str"/>
      <x:c r="K120" s="42" t="str"/>
      <x:c r="L120" s="42" t="str">
        <x:v>必须导出人员信息汇总或人员列表。</x:v>
      </x:c>
      <x:c r="M120" s="42" t="str"/>
      <x:c r="N120" s="42" t="str">
        <x:v>普通</x:v>
      </x:c>
      <x:c r="O120" s="42" t="str">
        <x:v>是</x:v>
      </x:c>
    </x:row>
    <x:row r="121">
      <x:c r="A121" s="42" t="n">
        <x:v>117</x:v>
      </x:c>
      <x:c r="B121" s="42" t="str">
        <x:v>人员信息导出</x:v>
      </x:c>
      <x:c r="C121" s="42" t="str">
        <x:v>汇总</x:v>
      </x:c>
      <x:c r="D121" s="42" t="str">
        <x:v>片区</x:v>
      </x:c>
      <x:c r="E121" s="42" t="str"/>
      <x:c r="F121" s="42" t="str">
        <x:v>片区</x:v>
      </x:c>
      <x:c r="G121" s="42" t="str">
        <x:v>组织架构中的片区层级</x:v>
      </x:c>
      <x:c r="H121" s="42" t="str">
        <x:v>组织/人事</x:v>
      </x:c>
      <x:c r="I121" s="42" t="str">
        <x:v>不支持</x:v>
      </x:c>
      <x:c r="J121" s="42" t="str"/>
      <x:c r="K121" s="42" t="str"/>
      <x:c r="L121" s="42" t="str">
        <x:v>必须导出人员信息汇总或人员列表。</x:v>
      </x:c>
      <x:c r="M121" s="42" t="str"/>
      <x:c r="N121" s="42" t="str">
        <x:v>普通</x:v>
      </x:c>
      <x:c r="O121" s="42" t="str">
        <x:v>是</x:v>
      </x:c>
    </x:row>
    <x:row r="122">
      <x:c r="A122" s="42" t="n">
        <x:v>118</x:v>
      </x:c>
      <x:c r="B122" s="42" t="str">
        <x:v>人员信息导出</x:v>
      </x:c>
      <x:c r="C122" s="42" t="str">
        <x:v>汇总</x:v>
      </x:c>
      <x:c r="D122" s="42" t="str">
        <x:v>门店</x:v>
      </x:c>
      <x:c r="E122" s="42" t="str"/>
      <x:c r="F122" s="42" t="str">
        <x:v>门店</x:v>
      </x:c>
      <x:c r="G122" s="42" t="str">
        <x:v>组织架构中的门店层级</x:v>
      </x:c>
      <x:c r="H122" s="42" t="str">
        <x:v>组织/人事</x:v>
      </x:c>
      <x:c r="I122" s="42" t="str">
        <x:v>部分支持</x:v>
      </x:c>
      <x:c r="J122" s="42" t="str">
        <x:v>queryRptData / 合同财务明细</x:v>
      </x:c>
      <x:c r="K122" s="42" t="str">
        <x:v>deptName / assignDeptName</x:v>
      </x:c>
      <x:c r="L122" s="42" t="str">
        <x:v>MCP只会在部分业务数据中返回部门名称，不能替代完整门店清单。</x:v>
      </x:c>
      <x:c r="M122" s="42" t="str">
        <x:v>无法证明层级、无法包含无业务数据或停用门店。</x:v>
      </x:c>
      <x:c r="N122" s="42" t="str">
        <x:v>普通</x:v>
      </x:c>
      <x:c r="O122" s="42" t="str">
        <x:v>按需</x:v>
      </x:c>
    </x:row>
    <x:row r="123">
      <x:c r="A123" s="42" t="n">
        <x:v>119</x:v>
      </x:c>
      <x:c r="B123" s="42" t="str">
        <x:v>人员信息导出</x:v>
      </x:c>
      <x:c r="C123" s="42" t="str">
        <x:v>汇总</x:v>
      </x:c>
      <x:c r="D123" s="42" t="str">
        <x:v>人数</x:v>
      </x:c>
      <x:c r="E123" s="42" t="str"/>
      <x:c r="F123" s="42" t="str">
        <x:v>在册人数</x:v>
      </x:c>
      <x:c r="G123" s="42" t="str">
        <x:v>该组织节点下的人员数量</x:v>
      </x:c>
      <x:c r="H123" s="42" t="str">
        <x:v>人员统计</x:v>
      </x:c>
      <x:c r="I123" s="42" t="str">
        <x:v>不支持</x:v>
      </x:c>
      <x:c r="J123" s="42" t="str"/>
      <x:c r="K123" s="42" t="str"/>
      <x:c r="L123" s="42" t="str">
        <x:v>必须导出人员信息汇总或人员列表后统计。</x:v>
      </x:c>
      <x:c r="M123" s="42" t="str">
        <x:v>不能用有业务记录人数代替在册人数。</x:v>
      </x:c>
      <x:c r="N123" s="42" t="str">
        <x:v>中敏</x:v>
      </x:c>
      <x:c r="O123" s="42" t="str">
        <x:v>是</x:v>
      </x:c>
    </x:row>
    <x:row r="124">
      <x:c r="A124" s="42" t="n">
        <x:v>120</x:v>
      </x:c>
      <x:c r="B124" s="42" t="str">
        <x:v>人员信息导出</x:v>
      </x:c>
      <x:c r="C124" s="42" t="str">
        <x:v>人员列表</x:v>
      </x:c>
      <x:c r="D124" s="42" t="str">
        <x:v>运营</x:v>
      </x:c>
      <x:c r="E124" s="42" t="str"/>
      <x:c r="F124" s="42" t="str">
        <x:v>运营层级</x:v>
      </x:c>
      <x:c r="G124" s="42" t="str">
        <x:v>员工所属运营层级</x:v>
      </x:c>
      <x:c r="H124" s="42" t="str">
        <x:v>组织/人事</x:v>
      </x:c>
      <x:c r="I124" s="42" t="str">
        <x:v>不支持</x:v>
      </x:c>
      <x:c r="J124" s="42" t="str"/>
      <x:c r="K124" s="42" t="str"/>
      <x:c r="L124" s="42" t="str">
        <x:v>必须导出人员列表。</x:v>
      </x:c>
      <x:c r="M124" s="42" t="str"/>
      <x:c r="N124" s="42" t="str">
        <x:v>普通</x:v>
      </x:c>
      <x:c r="O124" s="42" t="str">
        <x:v>是</x:v>
      </x:c>
    </x:row>
    <x:row r="125">
      <x:c r="A125" s="42" t="n">
        <x:v>121</x:v>
      </x:c>
      <x:c r="B125" s="42" t="str">
        <x:v>人员信息导出</x:v>
      </x:c>
      <x:c r="C125" s="42" t="str">
        <x:v>人员列表</x:v>
      </x:c>
      <x:c r="D125" s="42" t="str">
        <x:v>大区</x:v>
      </x:c>
      <x:c r="E125" s="42" t="str"/>
      <x:c r="F125" s="42" t="str">
        <x:v>大区</x:v>
      </x:c>
      <x:c r="G125" s="42" t="str">
        <x:v>员工所属大区</x:v>
      </x:c>
      <x:c r="H125" s="42" t="str">
        <x:v>组织/人事</x:v>
      </x:c>
      <x:c r="I125" s="42" t="str">
        <x:v>不支持</x:v>
      </x:c>
      <x:c r="J125" s="42" t="str"/>
      <x:c r="K125" s="42" t="str"/>
      <x:c r="L125" s="42" t="str">
        <x:v>必须导出人员列表。</x:v>
      </x:c>
      <x:c r="M125" s="42" t="str"/>
      <x:c r="N125" s="42" t="str">
        <x:v>普通</x:v>
      </x:c>
      <x:c r="O125" s="42" t="str">
        <x:v>是</x:v>
      </x:c>
    </x:row>
    <x:row r="126">
      <x:c r="A126" s="42" t="n">
        <x:v>122</x:v>
      </x:c>
      <x:c r="B126" s="42" t="str">
        <x:v>人员信息导出</x:v>
      </x:c>
      <x:c r="C126" s="42" t="str">
        <x:v>人员列表</x:v>
      </x:c>
      <x:c r="D126" s="42" t="str">
        <x:v>片区</x:v>
      </x:c>
      <x:c r="E126" s="42" t="str"/>
      <x:c r="F126" s="42" t="str">
        <x:v>片区</x:v>
      </x:c>
      <x:c r="G126" s="42" t="str">
        <x:v>员工所属片区</x:v>
      </x:c>
      <x:c r="H126" s="42" t="str">
        <x:v>组织/人事</x:v>
      </x:c>
      <x:c r="I126" s="42" t="str">
        <x:v>不支持</x:v>
      </x:c>
      <x:c r="J126" s="42" t="str"/>
      <x:c r="K126" s="42" t="str"/>
      <x:c r="L126" s="42" t="str">
        <x:v>必须导出人员列表。</x:v>
      </x:c>
      <x:c r="M126" s="42" t="str"/>
      <x:c r="N126" s="42" t="str">
        <x:v>普通</x:v>
      </x:c>
      <x:c r="O126" s="42" t="str">
        <x:v>是</x:v>
      </x:c>
    </x:row>
    <x:row r="127">
      <x:c r="A127" s="42" t="n">
        <x:v>123</x:v>
      </x:c>
      <x:c r="B127" s="42" t="str">
        <x:v>人员信息导出</x:v>
      </x:c>
      <x:c r="C127" s="42" t="str">
        <x:v>人员列表</x:v>
      </x:c>
      <x:c r="D127" s="42" t="str">
        <x:v>门店</x:v>
      </x:c>
      <x:c r="E127" s="42" t="str"/>
      <x:c r="F127" s="42" t="str">
        <x:v>门店</x:v>
      </x:c>
      <x:c r="G127" s="42" t="str">
        <x:v>员工所属门店</x:v>
      </x:c>
      <x:c r="H127" s="42" t="str">
        <x:v>组织/人事</x:v>
      </x:c>
      <x:c r="I127" s="42" t="str">
        <x:v>部分支持</x:v>
      </x:c>
      <x:c r="J127" s="42" t="str">
        <x:v>queryRptData / 合同财务明细</x:v>
      </x:c>
      <x:c r="K127" s="42" t="str">
        <x:v>deptName / assignDeptName</x:v>
      </x:c>
      <x:c r="L127" s="42" t="str">
        <x:v>MCP仅能在部分业务记录中零散返回部门名，不能得到全量人员归属。</x:v>
      </x:c>
      <x:c r="M127" s="42" t="str"/>
      <x:c r="N127" s="42" t="str">
        <x:v>普通</x:v>
      </x:c>
      <x:c r="O127" s="42" t="str">
        <x:v>按需</x:v>
      </x:c>
    </x:row>
    <x:row r="128">
      <x:c r="A128" s="42" t="n">
        <x:v>124</x:v>
      </x:c>
      <x:c r="B128" s="42" t="str">
        <x:v>人员信息导出</x:v>
      </x:c>
      <x:c r="C128" s="42" t="str">
        <x:v>人员列表</x:v>
      </x:c>
      <x:c r="D128" s="42" t="str">
        <x:v>分组</x:v>
      </x:c>
      <x:c r="E128" s="42" t="str"/>
      <x:c r="F128" s="42" t="str">
        <x:v>分组</x:v>
      </x:c>
      <x:c r="G128" s="42" t="str">
        <x:v>员工所属小组</x:v>
      </x:c>
      <x:c r="H128" s="42" t="str">
        <x:v>组织/人事</x:v>
      </x:c>
      <x:c r="I128" s="42" t="str">
        <x:v>部分支持</x:v>
      </x:c>
      <x:c r="J128" s="42" t="str">
        <x:v>queryRptData / 合同财务明细</x:v>
      </x:c>
      <x:c r="K128" s="42" t="str">
        <x:v>deptName / assignDeptName</x:v>
      </x:c>
      <x:c r="L128" s="42" t="str">
        <x:v>部分返回值可能是小组名称，但层级不明确；需要全量归属必须导出。</x:v>
      </x:c>
      <x:c r="M128" s="42" t="str"/>
      <x:c r="N128" s="42" t="str">
        <x:v>普通</x:v>
      </x:c>
      <x:c r="O128" s="42" t="str">
        <x:v>按需</x:v>
      </x:c>
    </x:row>
    <x:row r="129">
      <x:c r="A129" s="42" t="n">
        <x:v>125</x:v>
      </x:c>
      <x:c r="B129" s="42" t="str">
        <x:v>人员信息导出</x:v>
      </x:c>
      <x:c r="C129" s="42" t="str">
        <x:v>人员列表</x:v>
      </x:c>
      <x:c r="D129" s="42" t="str">
        <x:v>职能</x:v>
      </x:c>
      <x:c r="E129" s="42" t="str"/>
      <x:c r="F129" s="42" t="str">
        <x:v>职能</x:v>
      </x:c>
      <x:c r="G129" s="42" t="str">
        <x:v>员工业务职能</x:v>
      </x:c>
      <x:c r="H129" s="42" t="str">
        <x:v>组织/人事</x:v>
      </x:c>
      <x:c r="I129" s="42" t="str">
        <x:v>不支持</x:v>
      </x:c>
      <x:c r="J129" s="42" t="str"/>
      <x:c r="K129" s="42" t="str"/>
      <x:c r="L129" s="42" t="str">
        <x:v>必须导出人员列表。</x:v>
      </x:c>
      <x:c r="M129" s="42" t="str"/>
      <x:c r="N129" s="42" t="str">
        <x:v>中敏</x:v>
      </x:c>
      <x:c r="O129" s="42" t="str">
        <x:v>是</x:v>
      </x:c>
    </x:row>
    <x:row r="130">
      <x:c r="A130" s="42" t="n">
        <x:v>126</x:v>
      </x:c>
      <x:c r="B130" s="42" t="str">
        <x:v>人员信息导出</x:v>
      </x:c>
      <x:c r="C130" s="42" t="str">
        <x:v>人员列表</x:v>
      </x:c>
      <x:c r="D130" s="42" t="str">
        <x:v>姓名</x:v>
      </x:c>
      <x:c r="E130" s="42" t="str"/>
      <x:c r="F130" s="42" t="str">
        <x:v>员工姓名</x:v>
      </x:c>
      <x:c r="G130" s="42" t="str">
        <x:v>员工姓名</x:v>
      </x:c>
      <x:c r="H130" s="42" t="str">
        <x:v>人员</x:v>
      </x:c>
      <x:c r="I130" s="42" t="str">
        <x:v>部分支持</x:v>
      </x:c>
      <x:c r="J130" s="42" t="str">
        <x:v>queryRptData / 合同财务明细</x:v>
      </x:c>
      <x:c r="K130" s="42" t="str">
        <x:v>userName / signUserName / houseUserName / custUserName</x:v>
      </x:c>
      <x:c r="L130" s="42" t="str">
        <x:v>MCP可返回业务相关人员姓名，但不能形成全量员工名册。</x:v>
      </x:c>
      <x:c r="M130" s="42" t="str">
        <x:v>无业务记录人员、离职人员可能缺失。</x:v>
      </x:c>
      <x:c r="N130" s="42" t="str">
        <x:v>中敏</x:v>
      </x:c>
      <x:c r="O130" s="42" t="str">
        <x:v>按需</x:v>
      </x:c>
    </x:row>
    <x:row r="131">
      <x:c r="A131" s="42" t="n">
        <x:v>127</x:v>
      </x:c>
      <x:c r="B131" s="42" t="str">
        <x:v>人员信息导出</x:v>
      </x:c>
      <x:c r="C131" s="42" t="str">
        <x:v>人员列表</x:v>
      </x:c>
      <x:c r="D131" s="42" t="str">
        <x:v>性别</x:v>
      </x:c>
      <x:c r="E131" s="42" t="str"/>
      <x:c r="F131" s="42" t="str">
        <x:v>性别</x:v>
      </x:c>
      <x:c r="G131" s="42" t="str">
        <x:v>员工性别</x:v>
      </x:c>
      <x:c r="H131" s="42" t="str">
        <x:v>人员敏感信息</x:v>
      </x:c>
      <x:c r="I131" s="42" t="str">
        <x:v>不支持</x:v>
      </x:c>
      <x:c r="J131" s="42" t="str"/>
      <x:c r="K131" s="42" t="str"/>
      <x:c r="L131" s="42" t="str">
        <x:v>仅在业务确有必要时导出并限制使用。</x:v>
      </x:c>
      <x:c r="M131" s="42" t="str"/>
      <x:c r="N131" s="42" t="str">
        <x:v>高敏</x:v>
      </x:c>
      <x:c r="O131" s="42" t="str">
        <x:v>是</x:v>
      </x:c>
    </x:row>
    <x:row r="132">
      <x:c r="A132" s="42" t="n">
        <x:v>128</x:v>
      </x:c>
      <x:c r="B132" s="42" t="str">
        <x:v>人员信息导出</x:v>
      </x:c>
      <x:c r="C132" s="42" t="str">
        <x:v>人员列表</x:v>
      </x:c>
      <x:c r="D132" s="42" t="str">
        <x:v>岗位</x:v>
      </x:c>
      <x:c r="E132" s="42" t="str"/>
      <x:c r="F132" s="42" t="str">
        <x:v>岗位</x:v>
      </x:c>
      <x:c r="G132" s="42" t="str">
        <x:v>员工岗位名称</x:v>
      </x:c>
      <x:c r="H132" s="42" t="str">
        <x:v>组织/人事</x:v>
      </x:c>
      <x:c r="I132" s="42" t="str">
        <x:v>不支持</x:v>
      </x:c>
      <x:c r="J132" s="42" t="str"/>
      <x:c r="K132" s="42" t="str"/>
      <x:c r="L132" s="42" t="str">
        <x:v>必须导出人员列表。</x:v>
      </x:c>
      <x:c r="M132" s="42" t="str"/>
      <x:c r="N132" s="42" t="str">
        <x:v>中敏</x:v>
      </x:c>
      <x:c r="O132" s="42" t="str">
        <x:v>是</x:v>
      </x:c>
    </x:row>
    <x:row r="133">
      <x:c r="A133" s="42" t="n">
        <x:v>129</x:v>
      </x:c>
      <x:c r="B133" s="42" t="str">
        <x:v>人员信息导出</x:v>
      </x:c>
      <x:c r="C133" s="42" t="str">
        <x:v>人员列表</x:v>
      </x:c>
      <x:c r="D133" s="42" t="str">
        <x:v>电话</x:v>
      </x:c>
      <x:c r="E133" s="42" t="str"/>
      <x:c r="F133" s="42" t="str">
        <x:v>手机号</x:v>
      </x:c>
      <x:c r="G133" s="42" t="str">
        <x:v>员工联系电话</x:v>
      </x:c>
      <x:c r="H133" s="42" t="str">
        <x:v>人员敏感信息</x:v>
      </x:c>
      <x:c r="I133" s="42" t="str">
        <x:v>不支持</x:v>
      </x:c>
      <x:c r="J133" s="42" t="str"/>
      <x:c r="K133" s="42" t="str"/>
      <x:c r="L133" s="42" t="str">
        <x:v>仅在确有必要时导出，默认脱敏。</x:v>
      </x:c>
      <x:c r="M133" s="42" t="str">
        <x:v>合同明细工具说明明确不含手机号。</x:v>
      </x:c>
      <x:c r="N133" s="42" t="str">
        <x:v>高敏</x:v>
      </x:c>
      <x:c r="O133" s="42" t="str">
        <x:v>是</x:v>
      </x:c>
    </x:row>
    <x:row r="134">
      <x:c r="A134" s="42" t="n">
        <x:v>130</x:v>
      </x:c>
      <x:c r="B134" s="42" t="str">
        <x:v>人员信息导出</x:v>
      </x:c>
      <x:c r="C134" s="42" t="str">
        <x:v>人员列表</x:v>
      </x:c>
      <x:c r="D134" s="42" t="str">
        <x:v>离职</x:v>
      </x:c>
      <x:c r="E134" s="42" t="str"/>
      <x:c r="F134" s="42" t="str">
        <x:v>离职状态</x:v>
      </x:c>
      <x:c r="G134" s="42" t="str">
        <x:v>员工是否离职</x:v>
      </x:c>
      <x:c r="H134" s="42" t="str">
        <x:v>人事状态</x:v>
      </x:c>
      <x:c r="I134" s="42" t="str">
        <x:v>不支持</x:v>
      </x:c>
      <x:c r="J134" s="42" t="str"/>
      <x:c r="K134" s="42" t="str"/>
      <x:c r="L134" s="42" t="str">
        <x:v>人均、在职率、离职后业绩等需求必须导出。</x:v>
      </x:c>
      <x:c r="M134" s="42" t="str"/>
      <x:c r="N134" s="42" t="str">
        <x:v>高敏</x:v>
      </x:c>
      <x:c r="O134" s="42" t="str">
        <x:v>是</x:v>
      </x:c>
    </x:row>
    <x:row r="135">
      <x:c r="A135" s="42" t="n">
        <x:v>131</x:v>
      </x:c>
      <x:c r="B135" s="42" t="str">
        <x:v>人员信息导出</x:v>
      </x:c>
      <x:c r="C135" s="42" t="str">
        <x:v>人员列表</x:v>
      </x:c>
      <x:c r="D135" s="42" t="str">
        <x:v>离职时间</x:v>
      </x:c>
      <x:c r="E135" s="42" t="str"/>
      <x:c r="F135" s="42" t="str">
        <x:v>离职时间</x:v>
      </x:c>
      <x:c r="G135" s="42" t="str">
        <x:v>员工离职日期</x:v>
      </x:c>
      <x:c r="H135" s="42" t="str">
        <x:v>日期/人事</x:v>
      </x:c>
      <x:c r="I135" s="42" t="str">
        <x:v>不支持</x:v>
      </x:c>
      <x:c r="J135" s="42" t="str"/>
      <x:c r="K135" s="42" t="str"/>
      <x:c r="L135" s="42" t="str">
        <x:v>人均指标按时间点计算时必须使用。</x:v>
      </x:c>
      <x:c r="M135" s="42" t="str"/>
      <x:c r="N135" s="42" t="str">
        <x:v>高敏</x:v>
      </x:c>
      <x:c r="O135" s="42" t="str">
        <x:v>是</x:v>
      </x:c>
    </x:row>
    <x:row r="136">
      <x:c r="A136" s="42" t="n">
        <x:v>132</x:v>
      </x:c>
      <x:c r="B136" s="42" t="str">
        <x:v>人员信息导出</x:v>
      </x:c>
      <x:c r="C136" s="42" t="str">
        <x:v>人员列表</x:v>
      </x:c>
      <x:c r="D136" s="42" t="str">
        <x:v>冻结</x:v>
      </x:c>
      <x:c r="E136" s="42" t="str"/>
      <x:c r="F136" s="42" t="str">
        <x:v>冻结状态</x:v>
      </x:c>
      <x:c r="G136" s="42" t="str">
        <x:v>账号是否冻结</x:v>
      </x:c>
      <x:c r="H136" s="42" t="str">
        <x:v>账号状态</x:v>
      </x:c>
      <x:c r="I136" s="42" t="str">
        <x:v>不支持</x:v>
      </x:c>
      <x:c r="J136" s="42" t="str"/>
      <x:c r="K136" s="42" t="str"/>
      <x:c r="L136" s="42" t="str">
        <x:v>必须导出人员列表。</x:v>
      </x:c>
      <x:c r="M136" s="42" t="str"/>
      <x:c r="N136" s="42" t="str">
        <x:v>中敏</x:v>
      </x:c>
      <x:c r="O136" s="42" t="str">
        <x:v>是</x:v>
      </x:c>
    </x:row>
    <x:row r="137">
      <x:c r="A137" s="42" t="n">
        <x:v>133</x:v>
      </x:c>
      <x:c r="B137" s="42" t="str">
        <x:v>人员信息导出</x:v>
      </x:c>
      <x:c r="C137" s="42" t="str">
        <x:v>人员列表</x:v>
      </x:c>
      <x:c r="D137" s="42" t="str">
        <x:v>冻结时间</x:v>
      </x:c>
      <x:c r="E137" s="42" t="str"/>
      <x:c r="F137" s="42" t="str">
        <x:v>冻结时间</x:v>
      </x:c>
      <x:c r="G137" s="42" t="str">
        <x:v>账号冻结时间</x:v>
      </x:c>
      <x:c r="H137" s="42" t="str">
        <x:v>日期/账号</x:v>
      </x:c>
      <x:c r="I137" s="42" t="str">
        <x:v>不支持</x:v>
      </x:c>
      <x:c r="J137" s="42" t="str"/>
      <x:c r="K137" s="42" t="str"/>
      <x:c r="L137" s="42" t="str">
        <x:v>必须导出人员列表。</x:v>
      </x:c>
      <x:c r="M137" s="42" t="str"/>
      <x:c r="N137" s="42" t="str">
        <x:v>中敏</x:v>
      </x:c>
      <x:c r="O137" s="42" t="str">
        <x:v>是</x:v>
      </x:c>
    </x:row>
    <x:row r="138">
      <x:c r="A138" s="42" t="n">
        <x:v>134</x:v>
      </x:c>
      <x:c r="B138" s="42" t="str">
        <x:v>人员信息导出</x:v>
      </x:c>
      <x:c r="C138" s="42" t="str">
        <x:v>人员列表</x:v>
      </x:c>
      <x:c r="D138" s="42" t="str">
        <x:v>最近登录时间</x:v>
      </x:c>
      <x:c r="E138" s="42" t="str"/>
      <x:c r="F138" s="42" t="str">
        <x:v>最近登录时间</x:v>
      </x:c>
      <x:c r="G138" s="42" t="str">
        <x:v>员工最近登录ERP时间</x:v>
      </x:c>
      <x:c r="H138" s="42" t="str">
        <x:v>系统行为</x:v>
      </x:c>
      <x:c r="I138" s="42" t="str">
        <x:v>不支持</x:v>
      </x:c>
      <x:c r="J138" s="42" t="str"/>
      <x:c r="K138" s="42" t="str"/>
      <x:c r="L138" s="42" t="str">
        <x:v>活跃账号分析需要导出。</x:v>
      </x:c>
      <x:c r="M138" s="42" t="str"/>
      <x:c r="N138" s="42" t="str">
        <x:v>中敏</x:v>
      </x:c>
      <x:c r="O138" s="42" t="str">
        <x:v>是</x:v>
      </x:c>
    </x:row>
    <x:row r="139">
      <x:c r="A139" s="42" t="n">
        <x:v>135</x:v>
      </x:c>
      <x:c r="B139" s="42" t="str">
        <x:v>人员信息导出</x:v>
      </x:c>
      <x:c r="C139" s="42" t="str">
        <x:v>人员列表</x:v>
      </x:c>
      <x:c r="D139" s="42" t="str">
        <x:v>提成方案</x:v>
      </x:c>
      <x:c r="E139" s="42" t="str"/>
      <x:c r="F139" s="42" t="str">
        <x:v>提成方案</x:v>
      </x:c>
      <x:c r="G139" s="42" t="str">
        <x:v>员工适用的提成方案</x:v>
      </x:c>
      <x:c r="H139" s="42" t="str">
        <x:v>薪酬敏感信息</x:v>
      </x:c>
      <x:c r="I139" s="42" t="str">
        <x:v>不支持</x:v>
      </x:c>
      <x:c r="J139" s="42" t="str"/>
      <x:c r="K139" s="42" t="str"/>
      <x:c r="L139" s="42" t="str">
        <x:v>仅在授权的薪酬分析场景导出。</x:v>
      </x:c>
      <x:c r="M139" s="42" t="str"/>
      <x:c r="N139" s="42" t="str">
        <x:v>高敏</x:v>
      </x:c>
      <x:c r="O139" s="42" t="str">
        <x:v>是</x:v>
      </x:c>
    </x:row>
    <x:row r="140">
      <x:c r="A140" s="42" t="n">
        <x:v>136</x:v>
      </x:c>
      <x:c r="B140" s="42" t="str">
        <x:v>人员信息导出</x:v>
      </x:c>
      <x:c r="C140" s="42" t="str">
        <x:v>人员列表</x:v>
      </x:c>
      <x:c r="D140" s="42" t="str">
        <x:v>身份证号</x:v>
      </x:c>
      <x:c r="E140" s="42" t="str"/>
      <x:c r="F140" s="42" t="str">
        <x:v>身份证号</x:v>
      </x:c>
      <x:c r="G140" s="42" t="str">
        <x:v>员工证件号码</x:v>
      </x:c>
      <x:c r="H140" s="42" t="str">
        <x:v>人员敏感信息</x:v>
      </x:c>
      <x:c r="I140" s="42" t="str">
        <x:v>不支持</x:v>
      </x:c>
      <x:c r="J140" s="42" t="str"/>
      <x:c r="K140" s="42" t="str"/>
      <x:c r="L140" s="42" t="str">
        <x:v>原则上不应为一般经营分析导出；确需使用必须脱敏。</x:v>
      </x:c>
      <x:c r="M140" s="42" t="str"/>
      <x:c r="N140" s="42" t="str">
        <x:v>高敏</x:v>
      </x:c>
      <x:c r="O140" s="42" t="str">
        <x:v>是</x:v>
      </x:c>
    </x:row>
    <x:row r="141">
      <x:c r="A141" s="42" t="n">
        <x:v>137</x:v>
      </x:c>
      <x:c r="B141" s="42" t="str">
        <x:v>人员信息导出</x:v>
      </x:c>
      <x:c r="C141" s="42" t="str">
        <x:v>人员列表</x:v>
      </x:c>
      <x:c r="D141" s="42" t="str">
        <x:v>工号</x:v>
      </x:c>
      <x:c r="E141" s="42" t="str"/>
      <x:c r="F141" s="42" t="str">
        <x:v>工号</x:v>
      </x:c>
      <x:c r="G141" s="42" t="str">
        <x:v>员工内部工号</x:v>
      </x:c>
      <x:c r="H141" s="42" t="str">
        <x:v>人员标识</x:v>
      </x:c>
      <x:c r="I141" s="42" t="str">
        <x:v>不支持</x:v>
      </x:c>
      <x:c r="J141" s="42" t="str"/>
      <x:c r="K141" s="42" t="str"/>
      <x:c r="L141" s="42" t="str">
        <x:v>建议作为人员主键之一导出。</x:v>
      </x:c>
      <x:c r="M141" s="42" t="str">
        <x:v>优先用工号而非姓名做人员匹配。</x:v>
      </x:c>
      <x:c r="N141" s="42" t="str">
        <x:v>中敏</x:v>
      </x:c>
      <x:c r="O141" s="42" t="str">
        <x:v>是</x:v>
      </x:c>
    </x:row>
    <x:row r="142">
      <x:c r="A142" s="42" t="n">
        <x:v>138</x:v>
      </x:c>
      <x:c r="B142" s="42" t="str">
        <x:v>人员信息导出</x:v>
      </x:c>
      <x:c r="C142" s="42" t="str">
        <x:v>人员列表</x:v>
      </x:c>
      <x:c r="D142" s="42" t="str">
        <x:v>入职日期</x:v>
      </x:c>
      <x:c r="E142" s="42" t="str"/>
      <x:c r="F142" s="42" t="str">
        <x:v>入职日期</x:v>
      </x:c>
      <x:c r="G142" s="42" t="str">
        <x:v>员工入职日期</x:v>
      </x:c>
      <x:c r="H142" s="42" t="str">
        <x:v>日期/人事</x:v>
      </x:c>
      <x:c r="I142" s="42" t="str">
        <x:v>不支持</x:v>
      </x:c>
      <x:c r="J142" s="42" t="str"/>
      <x:c r="K142" s="42" t="str"/>
      <x:c r="L142" s="42" t="str">
        <x:v>在职人数、司龄、人均产能分析需要导出。</x:v>
      </x:c>
      <x:c r="M142" s="42" t="str"/>
      <x:c r="N142" s="42" t="str">
        <x:v>高敏</x:v>
      </x:c>
      <x:c r="O142" s="42" t="str">
        <x:v>是</x:v>
      </x:c>
    </x:row>
    <x:row r="143">
      <x:c r="A143" s="42" t="n">
        <x:v>139</x:v>
      </x:c>
      <x:c r="B143" s="42" t="str">
        <x:v>人员信息导出</x:v>
      </x:c>
      <x:c r="C143" s="42" t="str">
        <x:v>人员列表</x:v>
      </x:c>
      <x:c r="D143" s="42" t="str">
        <x:v>出生日期</x:v>
      </x:c>
      <x:c r="E143" s="42" t="str"/>
      <x:c r="F143" s="42" t="str">
        <x:v>出生日期</x:v>
      </x:c>
      <x:c r="G143" s="42" t="str">
        <x:v>员工出生日期</x:v>
      </x:c>
      <x:c r="H143" s="42" t="str">
        <x:v>人员敏感信息</x:v>
      </x:c>
      <x:c r="I143" s="42" t="str">
        <x:v>不支持</x:v>
      </x:c>
      <x:c r="J143" s="42" t="str"/>
      <x:c r="K143" s="42" t="str"/>
      <x:c r="L143" s="42" t="str">
        <x:v>一般经营分析不建议导出。</x:v>
      </x:c>
      <x:c r="M143" s="42" t="str"/>
      <x:c r="N143" s="42" t="str">
        <x:v>高敏</x:v>
      </x:c>
      <x:c r="O143" s="42" t="str">
        <x:v>是</x:v>
      </x:c>
    </x:row>
    <x:row r="144">
      <x:c r="A144" s="42" t="n">
        <x:v>140</x:v>
      </x:c>
      <x:c r="B144" s="42" t="str">
        <x:v>人员信息导出</x:v>
      </x:c>
      <x:c r="C144" s="42" t="str">
        <x:v>人员列表</x:v>
      </x:c>
      <x:c r="D144" s="42" t="str">
        <x:v>招聘渠道</x:v>
      </x:c>
      <x:c r="E144" s="42" t="str"/>
      <x:c r="F144" s="42" t="str">
        <x:v>招聘渠道</x:v>
      </x:c>
      <x:c r="G144" s="42" t="str">
        <x:v>员工来源招聘渠道</x:v>
      </x:c>
      <x:c r="H144" s="42" t="str">
        <x:v>人事信息</x:v>
      </x:c>
      <x:c r="I144" s="42" t="str">
        <x:v>不支持</x:v>
      </x:c>
      <x:c r="J144" s="42" t="str"/>
      <x:c r="K144" s="42" t="str"/>
      <x:c r="L144" s="42" t="str">
        <x:v>招聘效果分析需要导出。</x:v>
      </x:c>
      <x:c r="M144" s="42" t="str"/>
      <x:c r="N144" s="42" t="str">
        <x:v>高敏</x:v>
      </x:c>
      <x:c r="O144" s="42" t="str">
        <x:v>是</x:v>
      </x:c>
    </x:row>
    <x:row r="145">
      <x:c r="A145" s="42" t="n">
        <x:v>141</x:v>
      </x:c>
      <x:c r="B145" s="42" t="str">
        <x:v>人员信息导出</x:v>
      </x:c>
      <x:c r="C145" s="42" t="str">
        <x:v>人员列表</x:v>
      </x:c>
      <x:c r="D145" s="42" t="str">
        <x:v>推荐人</x:v>
      </x:c>
      <x:c r="E145" s="42" t="str"/>
      <x:c r="F145" s="42" t="str">
        <x:v>推荐人</x:v>
      </x:c>
      <x:c r="G145" s="42" t="str">
        <x:v>内部推荐人</x:v>
      </x:c>
      <x:c r="H145" s="42" t="str">
        <x:v>人员关系</x:v>
      </x:c>
      <x:c r="I145" s="42" t="str">
        <x:v>不支持</x:v>
      </x:c>
      <x:c r="J145" s="42" t="str"/>
      <x:c r="K145" s="42" t="str"/>
      <x:c r="L145" s="42" t="str">
        <x:v>推荐招聘分析需要导出。</x:v>
      </x:c>
      <x:c r="M145" s="42" t="str"/>
      <x:c r="N145" s="42" t="str">
        <x:v>高敏</x:v>
      </x:c>
      <x:c r="O145" s="42" t="str">
        <x:v>是</x:v>
      </x:c>
    </x:row>
    <x:row r="146">
      <x:c r="A146" s="42" t="n">
        <x:v>142</x:v>
      </x:c>
      <x:c r="B146" s="42" t="str">
        <x:v>人员信息导出</x:v>
      </x:c>
      <x:c r="C146" s="42" t="str">
        <x:v>人员列表</x:v>
      </x:c>
      <x:c r="D146" s="42" t="str">
        <x:v>籍贯</x:v>
      </x:c>
      <x:c r="E146" s="42" t="str"/>
      <x:c r="F146" s="42" t="str">
        <x:v>籍贯</x:v>
      </x:c>
      <x:c r="G146" s="42" t="str">
        <x:v>员工籍贯</x:v>
      </x:c>
      <x:c r="H146" s="42" t="str">
        <x:v>人员敏感信息</x:v>
      </x:c>
      <x:c r="I146" s="42" t="str">
        <x:v>不支持</x:v>
      </x:c>
      <x:c r="J146" s="42" t="str"/>
      <x:c r="K146" s="42" t="str"/>
      <x:c r="L146" s="42" t="str">
        <x:v>一般经营分析不建议导出。</x:v>
      </x:c>
      <x:c r="M146" s="42" t="str"/>
      <x:c r="N146" s="42" t="str">
        <x:v>高敏</x:v>
      </x:c>
      <x:c r="O146" s="42" t="str">
        <x:v>是</x:v>
      </x:c>
    </x:row>
    <x:row r="147">
      <x:c r="A147" s="42" t="n">
        <x:v>143</x:v>
      </x:c>
      <x:c r="B147" s="42" t="str">
        <x:v>人员信息导出</x:v>
      </x:c>
      <x:c r="C147" s="42" t="str">
        <x:v>人员列表</x:v>
      </x:c>
      <x:c r="D147" s="42" t="str">
        <x:v>民族</x:v>
      </x:c>
      <x:c r="E147" s="42" t="str"/>
      <x:c r="F147" s="42" t="str">
        <x:v>民族</x:v>
      </x:c>
      <x:c r="G147" s="42" t="str">
        <x:v>员工民族信息</x:v>
      </x:c>
      <x:c r="H147" s="42" t="str">
        <x:v>敏感个人属性</x:v>
      </x:c>
      <x:c r="I147" s="42" t="str">
        <x:v>不支持</x:v>
      </x:c>
      <x:c r="J147" s="42" t="str"/>
      <x:c r="K147" s="42" t="str"/>
      <x:c r="L147" s="42" t="str">
        <x:v>非必要不得导出或分析。</x:v>
      </x:c>
      <x:c r="M147" s="42" t="str"/>
      <x:c r="N147" s="42" t="str">
        <x:v>高敏</x:v>
      </x:c>
      <x:c r="O147" s="42" t="str">
        <x:v>是</x:v>
      </x:c>
    </x:row>
    <x:row r="148">
      <x:c r="A148" s="42" t="n">
        <x:v>144</x:v>
      </x:c>
      <x:c r="B148" s="42" t="str">
        <x:v>人员信息导出</x:v>
      </x:c>
      <x:c r="C148" s="42" t="str">
        <x:v>人员列表</x:v>
      </x:c>
      <x:c r="D148" s="42" t="str">
        <x:v>婚姻状况</x:v>
      </x:c>
      <x:c r="E148" s="42" t="str"/>
      <x:c r="F148" s="42" t="str">
        <x:v>婚姻状况</x:v>
      </x:c>
      <x:c r="G148" s="42" t="str">
        <x:v>员工婚姻状态</x:v>
      </x:c>
      <x:c r="H148" s="42" t="str">
        <x:v>敏感个人属性</x:v>
      </x:c>
      <x:c r="I148" s="42" t="str">
        <x:v>不支持</x:v>
      </x:c>
      <x:c r="J148" s="42" t="str"/>
      <x:c r="K148" s="42" t="str"/>
      <x:c r="L148" s="42" t="str">
        <x:v>非必要不得导出或分析。</x:v>
      </x:c>
      <x:c r="M148" s="42" t="str"/>
      <x:c r="N148" s="42" t="str">
        <x:v>高敏</x:v>
      </x:c>
      <x:c r="O148" s="42" t="str">
        <x:v>是</x:v>
      </x:c>
    </x:row>
    <x:row r="149">
      <x:c r="A149" s="42" t="n">
        <x:v>145</x:v>
      </x:c>
      <x:c r="B149" s="42" t="str">
        <x:v>人员信息导出</x:v>
      </x:c>
      <x:c r="C149" s="42" t="str">
        <x:v>人员列表</x:v>
      </x:c>
      <x:c r="D149" s="42" t="str">
        <x:v>政治面貌</x:v>
      </x:c>
      <x:c r="E149" s="42" t="str"/>
      <x:c r="F149" s="42" t="str">
        <x:v>政治面貌</x:v>
      </x:c>
      <x:c r="G149" s="42" t="str">
        <x:v>员工政治面貌</x:v>
      </x:c>
      <x:c r="H149" s="42" t="str">
        <x:v>敏感个人属性</x:v>
      </x:c>
      <x:c r="I149" s="42" t="str">
        <x:v>不支持</x:v>
      </x:c>
      <x:c r="J149" s="42" t="str"/>
      <x:c r="K149" s="42" t="str"/>
      <x:c r="L149" s="42" t="str">
        <x:v>非必要不得导出或分析。</x:v>
      </x:c>
      <x:c r="M149" s="42" t="str"/>
      <x:c r="N149" s="42" t="str">
        <x:v>高敏</x:v>
      </x:c>
      <x:c r="O149" s="42" t="str">
        <x:v>是</x:v>
      </x:c>
    </x:row>
    <x:row r="150">
      <x:c r="A150" s="42" t="n">
        <x:v>146</x:v>
      </x:c>
      <x:c r="B150" s="42" t="str">
        <x:v>人员信息导出</x:v>
      </x:c>
      <x:c r="C150" s="42" t="str">
        <x:v>人员列表</x:v>
      </x:c>
      <x:c r="D150" s="42" t="str">
        <x:v>最高学历</x:v>
      </x:c>
      <x:c r="E150" s="42" t="str"/>
      <x:c r="F150" s="42" t="str">
        <x:v>最高学历</x:v>
      </x:c>
      <x:c r="G150" s="42" t="str">
        <x:v>员工最高学历</x:v>
      </x:c>
      <x:c r="H150" s="42" t="str">
        <x:v>人事信息</x:v>
      </x:c>
      <x:c r="I150" s="42" t="str">
        <x:v>不支持</x:v>
      </x:c>
      <x:c r="J150" s="42" t="str"/>
      <x:c r="K150" s="42" t="str"/>
      <x:c r="L150" s="42" t="str">
        <x:v>人才结构分析需要导出。</x:v>
      </x:c>
      <x:c r="M150" s="42" t="str"/>
      <x:c r="N150" s="42" t="str">
        <x:v>高敏</x:v>
      </x:c>
      <x:c r="O150" s="42" t="str">
        <x:v>是</x:v>
      </x:c>
    </x:row>
    <x:row r="151">
      <x:c r="A151" s="42" t="n">
        <x:v>147</x:v>
      </x:c>
      <x:c r="B151" s="42" t="str">
        <x:v>人员信息导出</x:v>
      </x:c>
      <x:c r="C151" s="42" t="str">
        <x:v>人员列表</x:v>
      </x:c>
      <x:c r="D151" s="42" t="str">
        <x:v>毕业年份</x:v>
      </x:c>
      <x:c r="E151" s="42" t="str"/>
      <x:c r="F151" s="42" t="str">
        <x:v>毕业年份</x:v>
      </x:c>
      <x:c r="G151" s="42" t="str">
        <x:v>最高学历毕业年份</x:v>
      </x:c>
      <x:c r="H151" s="42" t="str">
        <x:v>人事信息</x:v>
      </x:c>
      <x:c r="I151" s="42" t="str">
        <x:v>不支持</x:v>
      </x:c>
      <x:c r="J151" s="42" t="str"/>
      <x:c r="K151" s="42" t="str"/>
      <x:c r="L151" s="42" t="str">
        <x:v>人才结构分析需要导出。</x:v>
      </x:c>
      <x:c r="M151" s="42" t="str"/>
      <x:c r="N151" s="42" t="str">
        <x:v>中敏</x:v>
      </x:c>
      <x:c r="O151" s="42" t="str">
        <x:v>是</x:v>
      </x:c>
    </x:row>
    <x:row r="152">
      <x:c r="A152" s="42" t="n">
        <x:v>148</x:v>
      </x:c>
      <x:c r="B152" s="42" t="str">
        <x:v>人员信息导出</x:v>
      </x:c>
      <x:c r="C152" s="42" t="str">
        <x:v>人员列表</x:v>
      </x:c>
      <x:c r="D152" s="42" t="str">
        <x:v>毕业院校</x:v>
      </x:c>
      <x:c r="E152" s="42" t="str"/>
      <x:c r="F152" s="42" t="str">
        <x:v>毕业院校</x:v>
      </x:c>
      <x:c r="G152" s="42" t="str">
        <x:v>员工毕业院校</x:v>
      </x:c>
      <x:c r="H152" s="42" t="str">
        <x:v>人事信息</x:v>
      </x:c>
      <x:c r="I152" s="42" t="str">
        <x:v>不支持</x:v>
      </x:c>
      <x:c r="J152" s="42" t="str"/>
      <x:c r="K152" s="42" t="str"/>
      <x:c r="L152" s="42" t="str">
        <x:v>人才结构分析需要导出。</x:v>
      </x:c>
      <x:c r="M152" s="42" t="str"/>
      <x:c r="N152" s="42" t="str">
        <x:v>高敏</x:v>
      </x:c>
      <x:c r="O152" s="42" t="str">
        <x:v>是</x:v>
      </x:c>
    </x:row>
    <x:row r="153">
      <x:c r="A153" s="42" t="n">
        <x:v>149</x:v>
      </x:c>
      <x:c r="B153" s="42" t="str">
        <x:v>人员信息导出</x:v>
      </x:c>
      <x:c r="C153" s="42" t="str">
        <x:v>人员列表</x:v>
      </x:c>
      <x:c r="D153" s="42" t="str">
        <x:v>专业</x:v>
      </x:c>
      <x:c r="E153" s="42" t="str"/>
      <x:c r="F153" s="42" t="str">
        <x:v>专业</x:v>
      </x:c>
      <x:c r="G153" s="42" t="str">
        <x:v>员工所学专业</x:v>
      </x:c>
      <x:c r="H153" s="42" t="str">
        <x:v>人事信息</x:v>
      </x:c>
      <x:c r="I153" s="42" t="str">
        <x:v>不支持</x:v>
      </x:c>
      <x:c r="J153" s="42" t="str"/>
      <x:c r="K153" s="42" t="str"/>
      <x:c r="L153" s="42" t="str">
        <x:v>人才结构分析需要导出。</x:v>
      </x:c>
      <x:c r="M153" s="42" t="str"/>
      <x:c r="N153" s="42" t="str">
        <x:v>高敏</x:v>
      </x:c>
      <x:c r="O153" s="42" t="str">
        <x:v>是</x:v>
      </x:c>
    </x:row>
    <x:row r="154">
      <x:c r="A154" s="42" t="n">
        <x:v>150</x:v>
      </x:c>
      <x:c r="B154" s="42" t="str">
        <x:v>人员信息导出</x:v>
      </x:c>
      <x:c r="C154" s="42" t="str">
        <x:v>人员列表</x:v>
      </x:c>
      <x:c r="D154" s="42" t="str">
        <x:v>银行卡号</x:v>
      </x:c>
      <x:c r="E154" s="42" t="str"/>
      <x:c r="F154" s="42" t="str">
        <x:v>银行卡号</x:v>
      </x:c>
      <x:c r="G154" s="42" t="str">
        <x:v>员工工资或结算银行卡号</x:v>
      </x:c>
      <x:c r="H154" s="42" t="str">
        <x:v>金融敏感信息</x:v>
      </x:c>
      <x:c r="I154" s="42" t="str">
        <x:v>不支持</x:v>
      </x:c>
      <x:c r="J154" s="42" t="str"/>
      <x:c r="K154" s="42" t="str"/>
      <x:c r="L154" s="42" t="str">
        <x:v>禁止用于一般经营分析；确需处理必须严格授权和脱敏。</x:v>
      </x:c>
      <x:c r="M154" s="42" t="str"/>
      <x:c r="N154" s="42" t="str">
        <x:v>高敏</x:v>
      </x:c>
      <x:c r="O154" s="42" t="str">
        <x:v>是</x:v>
      </x:c>
    </x:row>
    <x:row r="155">
      <x:c r="A155" s="42" t="n">
        <x:v>151</x:v>
      </x:c>
      <x:c r="B155" s="42" t="str">
        <x:v>人员信息导出</x:v>
      </x:c>
      <x:c r="C155" s="42" t="str">
        <x:v>人员列表</x:v>
      </x:c>
      <x:c r="D155" s="42" t="str">
        <x:v>开户银行</x:v>
      </x:c>
      <x:c r="E155" s="42" t="str"/>
      <x:c r="F155" s="42" t="str">
        <x:v>开户银行</x:v>
      </x:c>
      <x:c r="G155" s="42" t="str">
        <x:v>银行卡开户银行</x:v>
      </x:c>
      <x:c r="H155" s="42" t="str">
        <x:v>金融敏感信息</x:v>
      </x:c>
      <x:c r="I155" s="42" t="str">
        <x:v>不支持</x:v>
      </x:c>
      <x:c r="J155" s="42" t="str"/>
      <x:c r="K155" s="42" t="str"/>
      <x:c r="L155" s="42" t="str">
        <x:v>非薪酬结算场景不要导出。</x:v>
      </x:c>
      <x:c r="M155" s="42" t="str"/>
      <x:c r="N155" s="42" t="str">
        <x:v>高敏</x:v>
      </x:c>
      <x:c r="O155" s="42" t="str">
        <x:v>是</x:v>
      </x:c>
    </x:row>
    <x:row r="156">
      <x:c r="A156" s="42" t="n">
        <x:v>152</x:v>
      </x:c>
      <x:c r="B156" s="42" t="str">
        <x:v>人员信息导出</x:v>
      </x:c>
      <x:c r="C156" s="42" t="str">
        <x:v>人员列表</x:v>
      </x:c>
      <x:c r="D156" s="42" t="str">
        <x:v>社保账户</x:v>
      </x:c>
      <x:c r="E156" s="42" t="str"/>
      <x:c r="F156" s="42" t="str">
        <x:v>社保账户</x:v>
      </x:c>
      <x:c r="G156" s="42" t="str">
        <x:v>员工社保账户信息</x:v>
      </x:c>
      <x:c r="H156" s="42" t="str">
        <x:v>金融/人事敏感信息</x:v>
      </x:c>
      <x:c r="I156" s="42" t="str">
        <x:v>不支持</x:v>
      </x:c>
      <x:c r="J156" s="42" t="str"/>
      <x:c r="K156" s="42" t="str"/>
      <x:c r="L156" s="42" t="str">
        <x:v>非必要不得导出。</x:v>
      </x:c>
      <x:c r="M156" s="42" t="str"/>
      <x:c r="N156" s="42" t="str">
        <x:v>高敏</x:v>
      </x:c>
      <x:c r="O156" s="42" t="str">
        <x:v>是</x:v>
      </x:c>
    </x:row>
    <x:row r="157">
      <x:c r="A157" s="42" t="n">
        <x:v>153</x:v>
      </x:c>
      <x:c r="B157" s="42" t="str">
        <x:v>人员信息导出</x:v>
      </x:c>
      <x:c r="C157" s="42" t="str">
        <x:v>人员列表</x:v>
      </x:c>
      <x:c r="D157" s="42" t="str">
        <x:v>公积金号</x:v>
      </x:c>
      <x:c r="E157" s="42" t="str"/>
      <x:c r="F157" s="42" t="str">
        <x:v>公积金账号</x:v>
      </x:c>
      <x:c r="G157" s="42" t="str">
        <x:v>员工公积金账号</x:v>
      </x:c>
      <x:c r="H157" s="42" t="str">
        <x:v>金融/人事敏感信息</x:v>
      </x:c>
      <x:c r="I157" s="42" t="str">
        <x:v>不支持</x:v>
      </x:c>
      <x:c r="J157" s="42" t="str"/>
      <x:c r="K157" s="42" t="str"/>
      <x:c r="L157" s="42" t="str">
        <x:v>非必要不得导出。</x:v>
      </x:c>
      <x:c r="M157" s="42" t="str"/>
      <x:c r="N157" s="42" t="str">
        <x:v>高敏</x:v>
      </x:c>
      <x:c r="O157" s="42" t="str">
        <x:v>是</x:v>
      </x:c>
    </x:row>
    <x:row r="158">
      <x:c r="A158" s="42" t="n">
        <x:v>154</x:v>
      </x:c>
      <x:c r="B158" s="42" t="str">
        <x:v>人员信息导出</x:v>
      </x:c>
      <x:c r="C158" s="42" t="str">
        <x:v>人员列表</x:v>
      </x:c>
      <x:c r="D158" s="42" t="str">
        <x:v>QQ</x:v>
      </x:c>
      <x:c r="E158" s="42" t="str"/>
      <x:c r="F158" s="42" t="str">
        <x:v>QQ</x:v>
      </x:c>
      <x:c r="G158" s="42" t="str">
        <x:v>员工QQ联系方式</x:v>
      </x:c>
      <x:c r="H158" s="42" t="str">
        <x:v>联系方式</x:v>
      </x:c>
      <x:c r="I158" s="42" t="str">
        <x:v>不支持</x:v>
      </x:c>
      <x:c r="J158" s="42" t="str"/>
      <x:c r="K158" s="42" t="str"/>
      <x:c r="L158" s="42" t="str">
        <x:v>一般经营分析不建议导出。</x:v>
      </x:c>
      <x:c r="M158" s="42" t="str"/>
      <x:c r="N158" s="42" t="str">
        <x:v>高敏</x:v>
      </x:c>
      <x:c r="O158" s="42" t="str">
        <x:v>是</x:v>
      </x:c>
    </x:row>
    <x:row r="159">
      <x:c r="A159" s="42" t="n">
        <x:v>155</x:v>
      </x:c>
      <x:c r="B159" s="42" t="str">
        <x:v>人员信息导出</x:v>
      </x:c>
      <x:c r="C159" s="42" t="str">
        <x:v>人员列表</x:v>
      </x:c>
      <x:c r="D159" s="42" t="str">
        <x:v>微信</x:v>
      </x:c>
      <x:c r="E159" s="42" t="str"/>
      <x:c r="F159" s="42" t="str">
        <x:v>微信</x:v>
      </x:c>
      <x:c r="G159" s="42" t="str">
        <x:v>员工微信联系方式</x:v>
      </x:c>
      <x:c r="H159" s="42" t="str">
        <x:v>联系方式</x:v>
      </x:c>
      <x:c r="I159" s="42" t="str">
        <x:v>不支持</x:v>
      </x:c>
      <x:c r="J159" s="42" t="str"/>
      <x:c r="K159" s="42" t="str"/>
      <x:c r="L159" s="42" t="str">
        <x:v>一般经营分析不建议导出。</x:v>
      </x:c>
      <x:c r="M159" s="42" t="str"/>
      <x:c r="N159" s="42" t="str">
        <x:v>高敏</x:v>
      </x:c>
      <x:c r="O159" s="42" t="str">
        <x:v>是</x:v>
      </x:c>
    </x:row>
    <x:row r="160">
      <x:c r="A160" s="42" t="n">
        <x:v>156</x:v>
      </x:c>
      <x:c r="B160" s="42" t="str">
        <x:v>人员信息导出</x:v>
      </x:c>
      <x:c r="C160" s="42" t="str">
        <x:v>人员列表</x:v>
      </x:c>
      <x:c r="D160" s="42" t="str">
        <x:v>电子邮箱</x:v>
      </x:c>
      <x:c r="E160" s="42" t="str"/>
      <x:c r="F160" s="42" t="str">
        <x:v>电子邮箱</x:v>
      </x:c>
      <x:c r="G160" s="42" t="str">
        <x:v>员工电子邮箱</x:v>
      </x:c>
      <x:c r="H160" s="42" t="str">
        <x:v>联系方式</x:v>
      </x:c>
      <x:c r="I160" s="42" t="str">
        <x:v>不支持</x:v>
      </x:c>
      <x:c r="J160" s="42" t="str"/>
      <x:c r="K160" s="42" t="str"/>
      <x:c r="L160" s="42" t="str">
        <x:v>按需导出并脱敏。</x:v>
      </x:c>
      <x:c r="M160" s="42" t="str"/>
      <x:c r="N160" s="42" t="str">
        <x:v>高敏</x:v>
      </x:c>
      <x:c r="O160" s="42" t="str">
        <x:v>是</x:v>
      </x:c>
    </x:row>
    <x:row r="161">
      <x:c r="A161" s="42" t="n">
        <x:v>157</x:v>
      </x:c>
      <x:c r="B161" s="42" t="str">
        <x:v>人员信息导出</x:v>
      </x:c>
      <x:c r="C161" s="42" t="str">
        <x:v>人员列表</x:v>
      </x:c>
      <x:c r="D161" s="42" t="str">
        <x:v>备用电话</x:v>
      </x:c>
      <x:c r="E161" s="42" t="str"/>
      <x:c r="F161" s="42" t="str">
        <x:v>备用电话</x:v>
      </x:c>
      <x:c r="G161" s="42" t="str">
        <x:v>员工备用联系电话</x:v>
      </x:c>
      <x:c r="H161" s="42" t="str">
        <x:v>联系方式</x:v>
      </x:c>
      <x:c r="I161" s="42" t="str">
        <x:v>不支持</x:v>
      </x:c>
      <x:c r="J161" s="42" t="str"/>
      <x:c r="K161" s="42" t="str"/>
      <x:c r="L161" s="42" t="str">
        <x:v>非必要不得导出。</x:v>
      </x:c>
      <x:c r="M161" s="42" t="str"/>
      <x:c r="N161" s="42" t="str">
        <x:v>高敏</x:v>
      </x:c>
      <x:c r="O161" s="42" t="str">
        <x:v>是</x:v>
      </x:c>
    </x:row>
    <x:row r="162">
      <x:c r="A162" s="42" t="n">
        <x:v>158</x:v>
      </x:c>
      <x:c r="B162" s="42" t="str">
        <x:v>人员信息导出</x:v>
      </x:c>
      <x:c r="C162" s="42" t="str">
        <x:v>人员列表</x:v>
      </x:c>
      <x:c r="D162" s="42" t="str">
        <x:v>现居地址</x:v>
      </x:c>
      <x:c r="E162" s="42" t="str"/>
      <x:c r="F162" s="42" t="str">
        <x:v>现居地址</x:v>
      </x:c>
      <x:c r="G162" s="42" t="str">
        <x:v>员工当前居住地址</x:v>
      </x:c>
      <x:c r="H162" s="42" t="str">
        <x:v>地址敏感信息</x:v>
      </x:c>
      <x:c r="I162" s="42" t="str">
        <x:v>不支持</x:v>
      </x:c>
      <x:c r="J162" s="42" t="str"/>
      <x:c r="K162" s="42" t="str"/>
      <x:c r="L162" s="42" t="str">
        <x:v>非必要不得导出。</x:v>
      </x:c>
      <x:c r="M162" s="42" t="str"/>
      <x:c r="N162" s="42" t="str">
        <x:v>高敏</x:v>
      </x:c>
      <x:c r="O162" s="42" t="str">
        <x:v>是</x:v>
      </x:c>
    </x:row>
    <x:row r="163">
      <x:c r="A163" s="42" t="n">
        <x:v>159</x:v>
      </x:c>
      <x:c r="B163" s="42" t="str">
        <x:v>人员信息导出</x:v>
      </x:c>
      <x:c r="C163" s="42" t="str">
        <x:v>人员列表</x:v>
      </x:c>
      <x:c r="D163" s="42" t="str">
        <x:v>户口地址</x:v>
      </x:c>
      <x:c r="E163" s="42" t="str"/>
      <x:c r="F163" s="42" t="str">
        <x:v>户口地址</x:v>
      </x:c>
      <x:c r="G163" s="42" t="str">
        <x:v>员工户籍地址</x:v>
      </x:c>
      <x:c r="H163" s="42" t="str">
        <x:v>地址敏感信息</x:v>
      </x:c>
      <x:c r="I163" s="42" t="str">
        <x:v>不支持</x:v>
      </x:c>
      <x:c r="J163" s="42" t="str"/>
      <x:c r="K163" s="42" t="str"/>
      <x:c r="L163" s="42" t="str">
        <x:v>非必要不得导出。</x:v>
      </x:c>
      <x:c r="M163" s="42" t="str"/>
      <x:c r="N163" s="42" t="str">
        <x:v>高敏</x:v>
      </x:c>
      <x:c r="O163" s="42" t="str">
        <x:v>是</x:v>
      </x:c>
    </x:row>
    <x:row r="164">
      <x:c r="A164" s="42" t="n">
        <x:v>160</x:v>
      </x:c>
      <x:c r="B164" s="42" t="str">
        <x:v>人员信息导出</x:v>
      </x:c>
      <x:c r="C164" s="42" t="str">
        <x:v>人员列表</x:v>
      </x:c>
      <x:c r="D164" s="42" t="str">
        <x:v>紧急联系人</x:v>
      </x:c>
      <x:c r="E164" s="42" t="str"/>
      <x:c r="F164" s="42" t="str">
        <x:v>紧急联系人</x:v>
      </x:c>
      <x:c r="G164" s="42" t="str">
        <x:v>员工紧急联系人姓名</x:v>
      </x:c>
      <x:c r="H164" s="42" t="str">
        <x:v>第三方敏感信息</x:v>
      </x:c>
      <x:c r="I164" s="42" t="str">
        <x:v>不支持</x:v>
      </x:c>
      <x:c r="J164" s="42" t="str"/>
      <x:c r="K164" s="42" t="str"/>
      <x:c r="L164" s="42" t="str">
        <x:v>非必要不得导出。</x:v>
      </x:c>
      <x:c r="M164" s="42" t="str"/>
      <x:c r="N164" s="42" t="str">
        <x:v>高敏</x:v>
      </x:c>
      <x:c r="O164" s="42" t="str">
        <x:v>是</x:v>
      </x:c>
    </x:row>
    <x:row r="165">
      <x:c r="A165" s="42" t="n">
        <x:v>161</x:v>
      </x:c>
      <x:c r="B165" s="42" t="str">
        <x:v>人员信息导出</x:v>
      </x:c>
      <x:c r="C165" s="42" t="str">
        <x:v>人员列表</x:v>
      </x:c>
      <x:c r="D165" s="42" t="str">
        <x:v>紧急联系电话</x:v>
      </x:c>
      <x:c r="E165" s="42" t="str"/>
      <x:c r="F165" s="42" t="str">
        <x:v>紧急联系电话</x:v>
      </x:c>
      <x:c r="G165" s="42" t="str">
        <x:v>员工紧急联系人电话</x:v>
      </x:c>
      <x:c r="H165" s="42" t="str">
        <x:v>第三方敏感信息</x:v>
      </x:c>
      <x:c r="I165" s="42" t="str">
        <x:v>不支持</x:v>
      </x:c>
      <x:c r="J165" s="42" t="str"/>
      <x:c r="K165" s="42" t="str"/>
      <x:c r="L165" s="42" t="str">
        <x:v>非必要不得导出。</x:v>
      </x:c>
      <x:c r="M165" s="42" t="str"/>
      <x:c r="N165" s="42" t="str">
        <x:v>高敏</x:v>
      </x:c>
      <x:c r="O165" s="42" t="str">
        <x:v>是</x:v>
      </x:c>
    </x:row>
    <x:row r="166">
      <x:c r="A166" s="42" t="n">
        <x:v>162</x:v>
      </x:c>
      <x:c r="B166" s="42" t="str">
        <x:v>人员信息导出</x:v>
      </x:c>
      <x:c r="C166" s="42" t="str">
        <x:v>人员列表</x:v>
      </x:c>
      <x:c r="D166" s="42" t="str">
        <x:v>技能证书</x:v>
      </x:c>
      <x:c r="E166" s="42" t="str"/>
      <x:c r="F166" s="42" t="str">
        <x:v>技能证书</x:v>
      </x:c>
      <x:c r="G166" s="42" t="str">
        <x:v>员工持有的专业技能证书</x:v>
      </x:c>
      <x:c r="H166" s="42" t="str">
        <x:v>人事信息</x:v>
      </x:c>
      <x:c r="I166" s="42" t="str">
        <x:v>不支持</x:v>
      </x:c>
      <x:c r="J166" s="42" t="str"/>
      <x:c r="K166" s="42" t="str"/>
      <x:c r="L166" s="42" t="str">
        <x:v>人才盘点需要导出。</x:v>
      </x:c>
      <x:c r="M166" s="42" t="str"/>
      <x:c r="N166" s="42" t="str">
        <x:v>中敏</x:v>
      </x:c>
      <x:c r="O166" s="42" t="str">
        <x:v>是</x:v>
      </x:c>
    </x:row>
    <x:row r="167">
      <x:c r="A167" s="42" t="n">
        <x:v>163</x:v>
      </x:c>
      <x:c r="B167" s="42" t="str">
        <x:v>人员信息导出</x:v>
      </x:c>
      <x:c r="C167" s="42" t="str">
        <x:v>人员列表</x:v>
      </x:c>
      <x:c r="D167" s="42" t="str">
        <x:v>荣誉奖项</x:v>
      </x:c>
      <x:c r="E167" s="42" t="str"/>
      <x:c r="F167" s="42" t="str">
        <x:v>荣誉奖项</x:v>
      </x:c>
      <x:c r="G167" s="42" t="str">
        <x:v>员工获得的荣誉</x:v>
      </x:c>
      <x:c r="H167" s="42" t="str">
        <x:v>人事信息</x:v>
      </x:c>
      <x:c r="I167" s="42" t="str">
        <x:v>不支持</x:v>
      </x:c>
      <x:c r="J167" s="42" t="str"/>
      <x:c r="K167" s="42" t="str"/>
      <x:c r="L167" s="42" t="str">
        <x:v>人才盘点需要导出。</x:v>
      </x:c>
      <x:c r="M167" s="42" t="str"/>
      <x:c r="N167" s="42" t="str">
        <x:v>中敏</x:v>
      </x:c>
      <x:c r="O167" s="42" t="str">
        <x:v>是</x:v>
      </x:c>
    </x:row>
    <x:row r="168">
      <x:c r="A168" s="42" t="n">
        <x:v>164</x:v>
      </x:c>
      <x:c r="B168" s="42" t="str">
        <x:v>人员信息导出</x:v>
      </x:c>
      <x:c r="C168" s="42" t="str">
        <x:v>人员列表</x:v>
      </x:c>
      <x:c r="D168" s="42" t="str">
        <x:v>兴趣爱好</x:v>
      </x:c>
      <x:c r="E168" s="42" t="str"/>
      <x:c r="F168" s="42" t="str">
        <x:v>兴趣爱好</x:v>
      </x:c>
      <x:c r="G168" s="42" t="str">
        <x:v>员工兴趣爱好</x:v>
      </x:c>
      <x:c r="H168" s="42" t="str">
        <x:v>个人信息</x:v>
      </x:c>
      <x:c r="I168" s="42" t="str">
        <x:v>不支持</x:v>
      </x:c>
      <x:c r="J168" s="42" t="str"/>
      <x:c r="K168" s="42" t="str"/>
      <x:c r="L168" s="42" t="str">
        <x:v>一般经营分析不建议导出。</x:v>
      </x:c>
      <x:c r="M168" s="42" t="str"/>
      <x:c r="N168" s="42" t="str">
        <x:v>高敏</x:v>
      </x:c>
      <x:c r="O168" s="42" t="str">
        <x:v>是</x:v>
      </x:c>
    </x:row>
    <x:row r="169">
      <x:c r="A169" s="43" t="n">
        <x:v>165</x:v>
      </x:c>
      <x:c r="B169" s="43" t="str">
        <x:v>人员信息导出</x:v>
      </x:c>
      <x:c r="C169" s="43" t="str">
        <x:v>人员列表</x:v>
      </x:c>
      <x:c r="D169" s="43" t="str">
        <x:v>备注</x:v>
      </x:c>
      <x:c r="E169" s="43" t="str"/>
      <x:c r="F169" s="43" t="str">
        <x:v>人员备注</x:v>
      </x:c>
      <x:c r="G169" s="43" t="str">
        <x:v>人员档案补充说明</x:v>
      </x:c>
      <x:c r="H169" s="43" t="str">
        <x:v>文本备注</x:v>
      </x:c>
      <x:c r="I169" s="43" t="str">
        <x:v>不支持</x:v>
      </x:c>
      <x:c r="J169" s="43" t="str"/>
      <x:c r="K169" s="43" t="str"/>
      <x:c r="L169" s="43" t="str">
        <x:v>仅在明确业务必要时导出。</x:v>
      </x:c>
      <x:c r="M169" s="43" t="str">
        <x:v>可能包含任意敏感信息。</x:v>
      </x:c>
      <x:c r="N169" s="43" t="str">
        <x:v>高敏</x:v>
      </x:c>
      <x:c r="O169" s="43" t="str">
        <x:v>是</x:v>
      </x:c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O1"/>
    <x:mergeCell ref="A2:O2"/>
  </x:mergeCells>
  <x:conditionalFormatting sqref="I5:I169">
    <x:cfRule type="expression" dxfId="0" priority="1">
      <x:formula>I5="不支持"</x:formula>
    </x:cfRule>
    <x:cfRule type="expression" dxfId="1" priority="2">
      <x:formula>I5="部分支持"</x:formula>
    </x:cfRule>
    <x:cfRule type="expression" dxfId="2" priority="3">
      <x:formula>I5="组合计算"</x:formula>
    </x:cfRule>
    <x:cfRule type="expression" dxfId="3" priority="4">
      <x:formula>I5="直接支持"</x:formula>
    </x:cfRule>
  </x:conditionalFormatting>
  <x:conditionalFormatting sqref="N5:N169">
    <x:cfRule type="expression" dxfId="4" priority="5">
      <x:formula>N5="高敏"</x:formula>
    </x:cfRule>
  </x:conditionalFormatting>
  <x:conditionalFormatting sqref="O5:O169">
    <x:cfRule type="expression" dxfId="5" priority="6">
      <x:formula>O5="是"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108e8653b74f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3" hidden="0" customWidth="1"/>
    <x:col min="8" max="8" width="35" hidden="0" customWidth="1"/>
    <x:col min="9" max="9" width="32" hidden="0" customWidth="1"/>
    <x:col min="10" max="10" width="42" hidden="0" customWidth="1"/>
  </x:cols>
  <x:sheetData>
    <x:row r="1" ht="28" customHeight="1">
      <x:c r="A1" s="74" t="str">
        <x:v>导出表总览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75" t="str">
        <x:v>字段数量由“全字段对照”自动统计。建议用途和时间口径用于指导客户导出；实际导出时仍应记录导出页面选择的具体日期字段。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76"/>
    </x:row>
    <x:row r="4">
      <x:c r="A4" s="77" t="str">
        <x:v>总字段项</x:v>
      </x:c>
      <x:c r="B4" s="69" t="str">
        <x:v>直接支持</x:v>
      </x:c>
      <x:c r="C4" s="69" t="str">
        <x:v>部分支持</x:v>
      </x:c>
      <x:c r="D4" s="69" t="str">
        <x:v>组合计算</x:v>
      </x:c>
      <x:c r="E4" s="69" t="str">
        <x:v>不支持</x:v>
      </x:c>
      <x:c r="F4" s="69" t="str">
        <x:v>需重点导出的表</x:v>
      </x:c>
      <x:c r="G4" s="27" t="str">
        <x:v>备注</x:v>
      </x:c>
    </x:row>
    <x:row r="5">
      <x:c r="A5" s="43" t="n">
        <x:f>COUNTA('全字段对照'!$A$5:$A$169)</x:f>
        <x:v>165</x:v>
      </x:c>
      <x:c r="B5" s="43" t="n">
        <x:f>COUNTIF('全字段对照'!$I$5:$I$169,"直接支持")</x:f>
        <x:v>88</x:v>
      </x:c>
      <x:c r="C5" s="43" t="n">
        <x:f>COUNTIF('全字段对照'!$I$5:$I$169,"部分支持")</x:f>
        <x:v>10</x:v>
      </x:c>
      <x:c r="D5" s="43" t="n">
        <x:f>COUNTIF('全字段对照'!$I$5:$I$169,"组合计算")</x:f>
        <x:v>1</x:v>
      </x:c>
      <x:c r="E5" s="43" t="n">
        <x:f>COUNTIF('全字段对照'!$I$5:$I$169,"不支持")</x:f>
        <x:v>66</x:v>
      </x:c>
      <x:c r="F5" s="43" t="str">
        <x:v>合同信息、人员信息、业绩分配</x:v>
      </x:c>
      <x:c r="G5" s="43" t="str">
        <x:v>付款与应收应付大多可由MCP直接提供</x:v>
      </x:c>
    </x:row>
    <x:row r="6">
      <x:c r="A6" s="77" t="str">
        <x:v>导出表</x:v>
      </x:c>
      <x:c r="B6" s="69" t="str">
        <x:v>工作表/模块</x:v>
      </x:c>
      <x:c r="C6" s="69" t="str">
        <x:v>字段数</x:v>
      </x:c>
      <x:c r="D6" s="69" t="str">
        <x:v>直接支持</x:v>
      </x:c>
      <x:c r="E6" s="69" t="str">
        <x:v>部分支持</x:v>
      </x:c>
      <x:c r="F6" s="69" t="str">
        <x:v>组合计算</x:v>
      </x:c>
      <x:c r="G6" s="69" t="str">
        <x:v>不支持需导出</x:v>
      </x:c>
      <x:c r="H6" s="69" t="str">
        <x:v>建议用途</x:v>
      </x:c>
      <x:c r="I6" s="69" t="str">
        <x:v>建议时间口径</x:v>
      </x:c>
      <x:c r="J6" s="27" t="str">
        <x:v>主要关联键</x:v>
      </x:c>
    </x:row>
    <x:row r="7">
      <x:c r="A7" s="42" t="str">
        <x:v>付款明细导出</x:v>
      </x:c>
      <x:c r="B7" s="42" t="str">
        <x:v>付款明细</x:v>
      </x:c>
      <x:c r="C7" s="42" t="n">
        <x:f>COUNTIFS('全字段对照'!$B$5:$B$169,A7,'全字段对照'!$C$5:$C$169,B7)</x:f>
        <x:v>11</x:v>
      </x:c>
      <x:c r="D7" s="42" t="n">
        <x:f>COUNTIFS('全字段对照'!$B$5:$B$169,A7,'全字段对照'!$C$5:$C$169,B7,'全字段对照'!$I$5:$I$169,"直接支持")</x:f>
        <x:v>11</x:v>
      </x:c>
      <x:c r="E7" s="42" t="n">
        <x:f>COUNTIFS('全字段对照'!$B$5:$B$169,A7,'全字段对照'!$C$5:$C$169,B7,'全字段对照'!$I$5:$I$169,"部分支持")</x:f>
        <x:v>0</x:v>
      </x:c>
      <x:c r="F7" s="42" t="n">
        <x:f>COUNTIFS('全字段对照'!$B$5:$B$169,A7,'全字段对照'!$C$5:$C$169,B7,'全字段对照'!$I$5:$I$169,"组合计算")</x:f>
        <x:v>0</x:v>
      </x:c>
      <x:c r="G7" s="42" t="n">
        <x:f>COUNTIFS('全字段对照'!$B$5:$B$169,A7,'全字段对照'!$C$5:$C$169,B7,'全字段对照'!$I$5:$I$169,"不支持")</x:f>
        <x:v>0</x:v>
      </x:c>
      <x:c r="H7" s="42" t="str">
        <x:v>付款、退款、付款方式和付款人明细</x:v>
      </x:c>
      <x:c r="I7" s="42" t="str">
        <x:v>按付款创建日期/付款日期，需记录实际筛选口径</x:v>
      </x:c>
      <x:c r="J7" s="42" t="str">
        <x:v>合同类型 + 合同编号 + 付款日期 + 金额 + 付款类型</x:v>
      </x:c>
    </x:row>
    <x:row r="8">
      <x:c r="A8" s="42" t="str">
        <x:v>合同信息导出</x:v>
      </x:c>
      <x:c r="B8" s="42" t="str">
        <x:v>合同信息</x:v>
      </x:c>
      <x:c r="C8" s="42" t="n">
        <x:f>COUNTIFS('全字段对照'!$B$5:$B$169,A8,'全字段对照'!$C$5:$C$169,B8)</x:f>
        <x:v>56</x:v>
      </x:c>
      <x:c r="D8" s="42" t="n">
        <x:f>COUNTIFS('全字段对照'!$B$5:$B$169,A8,'全字段对照'!$C$5:$C$169,B8,'全字段对照'!$I$5:$I$169,"直接支持")</x:f>
        <x:v>39</x:v>
      </x:c>
      <x:c r="E8" s="42" t="n">
        <x:f>COUNTIFS('全字段对照'!$B$5:$B$169,A8,'全字段对照'!$C$5:$C$169,B8,'全字段对照'!$I$5:$I$169,"部分支持")</x:f>
        <x:v>1</x:v>
      </x:c>
      <x:c r="F8" s="42" t="n">
        <x:f>COUNTIFS('全字段对照'!$B$5:$B$169,A8,'全字段对照'!$C$5:$C$169,B8,'全字段对照'!$I$5:$I$169,"组合计算")</x:f>
        <x:v>0</x:v>
      </x:c>
      <x:c r="G8" s="42" t="n">
        <x:f>COUNTIFS('全字段对照'!$B$5:$B$169,A8,'全字段对照'!$C$5:$C$169,B8,'全字段对照'!$I$5:$I$169,"不支持")</x:f>
        <x:v>16</x:v>
      </x:c>
      <x:c r="H8" s="42" t="str">
        <x:v>合同双方信息、房源/客源过程、组织层级、交易补充属性</x:v>
      </x:c>
      <x:c r="I8" s="42" t="str">
        <x:v>通常按签约日期；如按结单日期导出必须明确标注</x:v>
      </x:c>
      <x:c r="J8" s="42" t="str">
        <x:v>合同类型 + 合同编号</x:v>
      </x:c>
    </x:row>
    <x:row r="9">
      <x:c r="A9" s="42" t="str">
        <x:v>实收明细导出</x:v>
      </x:c>
      <x:c r="B9" s="42" t="str">
        <x:v>实收明细</x:v>
      </x:c>
      <x:c r="C9" s="42" t="n">
        <x:f>COUNTIFS('全字段对照'!$B$5:$B$169,A9,'全字段对照'!$C$5:$C$169,B9)</x:f>
        <x:v>13</x:v>
      </x:c>
      <x:c r="D9" s="42" t="n">
        <x:f>COUNTIFS('全字段对照'!$B$5:$B$169,A9,'全字段对照'!$C$5:$C$169,B9,'全字段对照'!$I$5:$I$169,"直接支持")</x:f>
        <x:v>10</x:v>
      </x:c>
      <x:c r="E9" s="42" t="n">
        <x:f>COUNTIFS('全字段对照'!$B$5:$B$169,A9,'全字段对照'!$C$5:$C$169,B9,'全字段对照'!$I$5:$I$169,"部分支持")</x:f>
        <x:v>2</x:v>
      </x:c>
      <x:c r="F9" s="42" t="n">
        <x:f>COUNTIFS('全字段对照'!$B$5:$B$169,A9,'全字段对照'!$C$5:$C$169,B9,'全字段对照'!$I$5:$I$169,"组合计算")</x:f>
        <x:v>0</x:v>
      </x:c>
      <x:c r="G9" s="42" t="n">
        <x:f>COUNTIFS('全字段对照'!$B$5:$B$169,A9,'全字段对照'!$C$5:$C$169,B9,'全字段对照'!$I$5:$I$169,"不支持")</x:f>
        <x:v>1</x:v>
      </x:c>
      <x:c r="H9" s="42" t="str">
        <x:v>实收科目、来源、金额、支付日期及签约分组</x:v>
      </x:c>
      <x:c r="I9" s="42" t="str">
        <x:v>按支付日期</x:v>
      </x:c>
      <x:c r="J9" s="42" t="str">
        <x:v>合同类型 + 合同编号 + 支付日期 + 金额 + 科目</x:v>
      </x:c>
    </x:row>
    <x:row r="10">
      <x:c r="A10" s="42" t="str">
        <x:v>业绩明细导出</x:v>
      </x:c>
      <x:c r="B10" s="42" t="str">
        <x:v>应收应付</x:v>
      </x:c>
      <x:c r="C10" s="42" t="n">
        <x:f>COUNTIFS('全字段对照'!$B$5:$B$169,A10,'全字段对照'!$C$5:$C$169,B10)</x:f>
        <x:v>14</x:v>
      </x:c>
      <x:c r="D10" s="42" t="n">
        <x:f>COUNTIFS('全字段对照'!$B$5:$B$169,A10,'全字段对照'!$C$5:$C$169,B10,'全字段对照'!$I$5:$I$169,"直接支持")</x:f>
        <x:v>13</x:v>
      </x:c>
      <x:c r="E10" s="42" t="n">
        <x:f>COUNTIFS('全字段对照'!$B$5:$B$169,A10,'全字段对照'!$C$5:$C$169,B10,'全字段对照'!$I$5:$I$169,"部分支持")</x:f>
        <x:v>1</x:v>
      </x:c>
      <x:c r="F10" s="42" t="n">
        <x:f>COUNTIFS('全字段对照'!$B$5:$B$169,A10,'全字段对照'!$C$5:$C$169,B10,'全字段对照'!$I$5:$I$169,"组合计算")</x:f>
        <x:v>0</x:v>
      </x:c>
      <x:c r="G10" s="42" t="n">
        <x:f>COUNTIFS('全字段对照'!$B$5:$B$169,A10,'全字段对照'!$C$5:$C$169,B10,'全字段对照'!$I$5:$I$169,"不支持")</x:f>
        <x:v>0</x:v>
      </x:c>
      <x:c r="H10" s="42" t="str">
        <x:v>应收、应付科目及金额明细</x:v>
      </x:c>
      <x:c r="I10" s="42" t="str">
        <x:v>通常按签约日期</x:v>
      </x:c>
      <x:c r="J10" s="42" t="str">
        <x:v>合同类型 + 合同编号 + 应收科目 + 应付科目</x:v>
      </x:c>
    </x:row>
    <x:row r="11">
      <x:c r="A11" s="42" t="str">
        <x:v>业绩明细导出</x:v>
      </x:c>
      <x:c r="B11" s="42" t="str">
        <x:v>业绩分配</x:v>
      </x:c>
      <x:c r="C11" s="42" t="n">
        <x:f>COUNTIFS('全字段对照'!$B$5:$B$169,A11,'全字段对照'!$C$5:$C$169,B11)</x:f>
        <x:v>20</x:v>
      </x:c>
      <x:c r="D11" s="42" t="n">
        <x:f>COUNTIFS('全字段对照'!$B$5:$B$169,A11,'全字段对照'!$C$5:$C$169,B11,'全字段对照'!$I$5:$I$169,"直接支持")</x:f>
        <x:v>15</x:v>
      </x:c>
      <x:c r="E11" s="42" t="n">
        <x:f>COUNTIFS('全字段对照'!$B$5:$B$169,A11,'全字段对照'!$C$5:$C$169,B11,'全字段对照'!$I$5:$I$169,"部分支持")</x:f>
        <x:v>2</x:v>
      </x:c>
      <x:c r="F11" s="42" t="n">
        <x:f>COUNTIFS('全字段对照'!$B$5:$B$169,A11,'全字段对照'!$C$5:$C$169,B11,'全字段对照'!$I$5:$I$169,"组合计算")</x:f>
        <x:v>1</x:v>
      </x:c>
      <x:c r="G11" s="42" t="n">
        <x:f>COUNTIFS('全字段对照'!$B$5:$B$169,A11,'全字段对照'!$C$5:$C$169,B11,'全字段对照'!$I$5:$I$169,"不支持")</x:f>
        <x:v>2</x:v>
      </x:c>
      <x:c r="H11" s="42" t="str">
        <x:v>人员分配角色、比例、业绩小组及实收业绩</x:v>
      </x:c>
      <x:c r="I11" s="42" t="str">
        <x:v>通常按签约日期</x:v>
      </x:c>
      <x:c r="J11" s="42" t="str">
        <x:v>合同类型 + 合同编号 + 经纪人 + 分配类型</x:v>
      </x:c>
    </x:row>
    <x:row r="12">
      <x:c r="A12" s="42" t="str">
        <x:v>人员信息导出</x:v>
      </x:c>
      <x:c r="B12" s="42" t="str">
        <x:v>汇总</x:v>
      </x:c>
      <x:c r="C12" s="42" t="n">
        <x:f>COUNTIFS('全字段对照'!$B$5:$B$169,A12,'全字段对照'!$C$5:$C$169,B12)</x:f>
        <x:v>5</x:v>
      </x:c>
      <x:c r="D12" s="42" t="n">
        <x:f>COUNTIFS('全字段对照'!$B$5:$B$169,A12,'全字段对照'!$C$5:$C$169,B12,'全字段对照'!$I$5:$I$169,"直接支持")</x:f>
        <x:v>0</x:v>
      </x:c>
      <x:c r="E12" s="42" t="n">
        <x:f>COUNTIFS('全字段对照'!$B$5:$B$169,A12,'全字段对照'!$C$5:$C$169,B12,'全字段对照'!$I$5:$I$169,"部分支持")</x:f>
        <x:v>1</x:v>
      </x:c>
      <x:c r="F12" s="42" t="n">
        <x:f>COUNTIFS('全字段对照'!$B$5:$B$169,A12,'全字段对照'!$C$5:$C$169,B12,'全字段对照'!$I$5:$I$169,"组合计算")</x:f>
        <x:v>0</x:v>
      </x:c>
      <x:c r="G12" s="42" t="n">
        <x:f>COUNTIFS('全字段对照'!$B$5:$B$169,A12,'全字段对照'!$C$5:$C$169,B12,'全字段对照'!$I$5:$I$169,"不支持")</x:f>
        <x:v>4</x:v>
      </x:c>
      <x:c r="H12" s="42" t="str">
        <x:v>组织层级与人数快速核对</x:v>
      </x:c>
      <x:c r="I12" s="42" t="str">
        <x:v>分析截止日最新快照</x:v>
      </x:c>
      <x:c r="J12" s="42" t="str">
        <x:v>运营 + 大区 + 片区 + 门店</x:v>
      </x:c>
    </x:row>
    <x:row r="13">
      <x:c r="A13" s="43" t="str">
        <x:v>人员信息导出</x:v>
      </x:c>
      <x:c r="B13" s="43" t="str">
        <x:v>人员列表</x:v>
      </x:c>
      <x:c r="C13" s="43" t="n">
        <x:f>COUNTIFS('全字段对照'!$B$5:$B$169,A13,'全字段对照'!$C$5:$C$169,B13)</x:f>
        <x:v>46</x:v>
      </x:c>
      <x:c r="D13" s="43" t="n">
        <x:f>COUNTIFS('全字段对照'!$B$5:$B$169,A13,'全字段对照'!$C$5:$C$169,B13,'全字段对照'!$I$5:$I$169,"直接支持")</x:f>
        <x:v>0</x:v>
      </x:c>
      <x:c r="E13" s="43" t="n">
        <x:f>COUNTIFS('全字段对照'!$B$5:$B$169,A13,'全字段对照'!$C$5:$C$169,B13,'全字段对照'!$I$5:$I$169,"部分支持")</x:f>
        <x:v>3</x:v>
      </x:c>
      <x:c r="F13" s="43" t="n">
        <x:f>COUNTIFS('全字段对照'!$B$5:$B$169,A13,'全字段对照'!$C$5:$C$169,B13,'全字段对照'!$I$5:$I$169,"组合计算")</x:f>
        <x:v>0</x:v>
      </x:c>
      <x:c r="G13" s="43" t="n">
        <x:f>COUNTIFS('全字段对照'!$B$5:$B$169,A13,'全字段对照'!$C$5:$C$169,B13,'全字段对照'!$I$5:$I$169,"不支持")</x:f>
        <x:v>43</x:v>
      </x:c>
      <x:c r="H13" s="43" t="str">
        <x:v>完整人员组织、人事状态和账号属性</x:v>
      </x:c>
      <x:c r="I13" s="43" t="str">
        <x:v>分析截止日最新快照；历史分析需保存历史快照</x:v>
      </x:c>
      <x:c r="J13" s="43" t="str">
        <x:v>工号优先；否则姓名 + 门店/分组</x:v>
      </x:c>
    </x:row>
    <x:row r="14">
      <x:c r="A14" s="76"/>
    </x:row>
    <x:row r="15">
      <x:c r="A15" s="76"/>
    </x:row>
    <x:row r="16">
      <x:c r="A16" s="76"/>
    </x:row>
    <x:row r="17">
      <x:c r="A17" s="76"/>
    </x:row>
    <x:row r="18">
      <x:c r="A18" s="76"/>
    </x:row>
    <x:row r="19">
      <x:c r="A19" s="76"/>
    </x:row>
    <x:row r="20">
      <x:c r="A20" s="76"/>
    </x:row>
    <x:row r="21">
      <x:c r="A21" s="76"/>
    </x:row>
    <x:row r="22">
      <x:c r="A22" s="76"/>
    </x:row>
    <x:row r="23">
      <x:c r="A23" s="76"/>
    </x:row>
    <x:row r="24">
      <x:c r="A24" s="76"/>
    </x:row>
    <x:row r="25">
      <x:c r="A25" s="76"/>
    </x:row>
    <x:row r="26">
      <x:c r="A26" s="76"/>
    </x:row>
    <x:row r="27">
      <x:c r="A27" s="76"/>
    </x:row>
    <x:row r="28">
      <x:c r="A28" s="76"/>
    </x:row>
    <x:row r="29">
      <x:c r="A29" s="76"/>
    </x:row>
    <x:row r="30">
      <x:c r="A30" s="76"/>
    </x:row>
    <x:row r="31">
      <x:c r="A31" s="76"/>
    </x:row>
    <x:row r="32">
      <x:c r="A32" s="76"/>
    </x:row>
    <x:row r="33">
      <x:c r="A33" s="76"/>
    </x:row>
    <x:row r="34">
      <x:c r="A34" s="76"/>
    </x:row>
    <x:row r="35">
      <x:c r="A35" s="76"/>
    </x:row>
    <x:row r="36">
      <x:c r="A36" s="76"/>
    </x:row>
    <x:row r="37">
      <x:c r="A37" s="76"/>
    </x:row>
    <x:row r="38">
      <x:c r="A38" s="76"/>
    </x:row>
    <x:row r="39">
      <x:c r="A39" s="76"/>
    </x:row>
    <x:row r="40">
      <x:c r="A40" s="76"/>
    </x:row>
    <x:row r="41">
      <x:c r="A41" s="76"/>
    </x:row>
    <x:row r="42">
      <x:c r="A42" s="76"/>
    </x:row>
    <x:row r="43">
      <x:c r="A43" s="76"/>
    </x:row>
    <x:row r="44">
      <x:c r="A44" s="76"/>
    </x:row>
    <x:row r="45">
      <x:c r="A45" s="76"/>
    </x:row>
    <x:row r="46">
      <x:c r="A46" s="76"/>
    </x:row>
    <x:row r="47">
      <x:c r="A47" s="76"/>
    </x:row>
    <x:row r="48">
      <x:c r="A48" s="76"/>
    </x:row>
    <x:row r="49">
      <x:c r="A49" s="76"/>
    </x:row>
    <x:row r="50">
      <x:c r="A50" s="76"/>
    </x:row>
    <x:row r="51">
      <x:c r="A51" s="76"/>
    </x:row>
    <x:row r="52">
      <x:c r="A52" s="76"/>
    </x:row>
    <x:row r="53">
      <x:c r="A53" s="76"/>
    </x:row>
    <x:row r="54">
      <x:c r="A54" s="76"/>
    </x:row>
    <x:row r="55">
      <x:c r="A55" s="76"/>
    </x:row>
    <x:row r="56">
      <x:c r="A56" s="76"/>
    </x:row>
    <x:row r="57">
      <x:c r="A57" s="76"/>
    </x:row>
    <x:row r="58">
      <x:c r="A58" s="76"/>
    </x:row>
    <x:row r="59">
      <x:c r="A59" s="76"/>
    </x:row>
    <x:row r="60">
      <x:c r="A60" s="76"/>
    </x:row>
    <x:row r="61">
      <x:c r="A61" s="76"/>
    </x:row>
    <x:row r="62">
      <x:c r="A62" s="76"/>
    </x:row>
    <x:row r="63">
      <x:c r="A63" s="76"/>
    </x:row>
    <x:row r="64">
      <x:c r="A64" s="76"/>
    </x:row>
    <x:row r="65">
      <x:c r="A65" s="76"/>
    </x:row>
    <x:row r="66">
      <x:c r="A66" s="76"/>
    </x:row>
    <x:row r="67">
      <x:c r="A67" s="76"/>
    </x:row>
    <x:row r="68">
      <x:c r="A68" s="76"/>
    </x:row>
    <x:row r="69">
      <x:c r="A69" s="76"/>
    </x:row>
    <x:row r="70">
      <x:c r="A70" s="76"/>
    </x:row>
    <x:row r="71">
      <x:c r="A71" s="76"/>
    </x:row>
    <x:row r="72">
      <x:c r="A72" s="76"/>
    </x:row>
    <x:row r="73">
      <x:c r="A73" s="76"/>
    </x:row>
    <x:row r="74">
      <x:c r="A74" s="76"/>
    </x:row>
    <x:row r="75">
      <x:c r="A75" s="76"/>
    </x:row>
    <x:row r="76">
      <x:c r="A76" s="76"/>
    </x:row>
    <x:row r="77">
      <x:c r="A77" s="76"/>
    </x:row>
    <x:row r="78">
      <x:c r="A78" s="76"/>
    </x:row>
    <x:row r="79">
      <x:c r="A79" s="76"/>
    </x:row>
    <x:row r="80">
      <x:c r="A80" s="76"/>
    </x:row>
    <x:row r="81">
      <x:c r="A81" s="76"/>
    </x:row>
    <x:row r="82">
      <x:c r="A82" s="76"/>
    </x:row>
    <x:row r="83">
      <x:c r="A83" s="76"/>
    </x:row>
    <x:row r="84">
      <x:c r="A84" s="76"/>
    </x:row>
    <x:row r="85">
      <x:c r="A85" s="76"/>
    </x:row>
    <x:row r="86">
      <x:c r="A86" s="76"/>
    </x:row>
    <x:row r="87">
      <x:c r="A87" s="76"/>
    </x:row>
    <x:row r="88">
      <x:c r="A88" s="76"/>
    </x:row>
    <x:row r="89">
      <x:c r="A89" s="76"/>
    </x:row>
    <x:row r="90">
      <x:c r="A90" s="76"/>
    </x:row>
    <x:row r="91">
      <x:c r="A91" s="76"/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3c2d2daaabc43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8" hidden="0" customWidth="1"/>
    <x:col min="5" max="5" width="13" hidden="0" customWidth="1"/>
    <x:col min="6" max="6" width="20" hidden="0" customWidth="1"/>
    <x:col min="7" max="7" width="34" hidden="0" customWidth="1"/>
    <x:col min="8" max="8" width="16" hidden="0" customWidth="1"/>
    <x:col min="9" max="9" width="44" hidden="0" customWidth="1"/>
    <x:col min="10" max="10" width="42" hidden="0" customWidth="1"/>
    <x:col min="11" max="11" width="10" hidden="0" customWidth="1"/>
  </x:cols>
  <x:sheetData>
    <x:row r="1" ht="28" customHeight="1">
      <x:c r="A1" s="74" t="str">
        <x:v>MCP不支持、需通过导出补充的字段（66项）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6" customHeight="1">
      <x:c r="A2" s="75" t="str">
        <x:v>这是指导客户导出的核心清单。并非每次都要导出全部字段，应根据“需求解决方案”只保留解决问题所需列。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76"/>
    </x:row>
    <x:row r="4" ht="32" customHeight="1">
      <x:c r="A4" s="77" t="str">
        <x:v>序号</x:v>
      </x:c>
      <x:c r="B4" s="69" t="str">
        <x:v>导出表</x:v>
      </x:c>
      <x:c r="C4" s="69" t="str">
        <x:v>工作表/模块</x:v>
      </x:c>
      <x:c r="D4" s="69" t="str">
        <x:v>原始字段名</x:v>
      </x:c>
      <x:c r="E4" s="69" t="str">
        <x:v>字段上下文</x:v>
      </x:c>
      <x:c r="F4" s="69" t="str">
        <x:v>标准字段名</x:v>
      </x:c>
      <x:c r="G4" s="69" t="str">
        <x:v>字段含义</x:v>
      </x:c>
      <x:c r="H4" s="69" t="str">
        <x:v>字段分类</x:v>
      </x:c>
      <x:c r="I4" s="69" t="str">
        <x:v>推荐处理方式</x:v>
      </x:c>
      <x:c r="J4" s="69" t="str">
        <x:v>关联键/补充说明</x:v>
      </x:c>
      <x:c r="K4" s="27" t="str">
        <x:v>敏感级别</x:v>
      </x:c>
    </x:row>
    <x:row r="5">
      <x:c r="A5" s="42" t="n">
        <x:v>1</x:v>
      </x:c>
      <x:c r="B5" s="42" t="str">
        <x:v>合同信息导出</x:v>
      </x:c>
      <x:c r="C5" s="42" t="str">
        <x:v>合同信息</x:v>
      </x:c>
      <x:c r="D5" s="42" t="str">
        <x:v>带看次数</x:v>
      </x:c>
      <x:c r="E5" s="42" t="str">
        <x:v>卖方/房东</x:v>
      </x:c>
      <x:c r="F5" s="42" t="str">
        <x:v>房源带看次数</x:v>
      </x:c>
      <x:c r="G5" s="42" t="str">
        <x:v>成交前该房源累计带看次数</x:v>
      </x:c>
      <x:c r="H5" s="42" t="str">
        <x:v>业务过程</x:v>
      </x:c>
      <x:c r="I5" s="42" t="str">
        <x:v>需要客户导出合同信息表。</x:v>
      </x:c>
      <x:c r="J5" s="42" t="str">
        <x:v>MCP合同明细仅明确返回客户带看次数，未暴露房源侧带看次数。</x:v>
      </x:c>
      <x:c r="K5" s="42" t="str">
        <x:v>普通</x:v>
      </x:c>
    </x:row>
    <x:row r="6">
      <x:c r="A6" s="42" t="n">
        <x:v>2</x:v>
      </x:c>
      <x:c r="B6" s="42" t="str">
        <x:v>合同信息导出</x:v>
      </x:c>
      <x:c r="C6" s="42" t="str">
        <x:v>合同信息</x:v>
      </x:c>
      <x:c r="D6" s="42" t="str">
        <x:v>卖方/房东
职能</x:v>
      </x:c>
      <x:c r="E6" s="42" t="str">
        <x:v>卖方/房东</x:v>
      </x:c>
      <x:c r="F6" s="42" t="str">
        <x:v>房源方职能</x:v>
      </x:c>
      <x:c r="G6" s="42" t="str">
        <x:v>房源方经纪人的职能</x:v>
      </x:c>
      <x:c r="H6" s="42" t="str">
        <x:v>组织/人事</x:v>
      </x:c>
      <x:c r="I6" s="42" t="str">
        <x:v>需要合同信息或人员信息导出。</x:v>
      </x:c>
      <x:c r="J6" s="42" t="str">
        <x:v>MCP未提供经纪人职能字段。</x:v>
      </x:c>
      <x:c r="K6" s="42" t="str">
        <x:v>中敏</x:v>
      </x:c>
    </x:row>
    <x:row r="7">
      <x:c r="A7" s="42" t="n">
        <x:v>3</x:v>
      </x:c>
      <x:c r="B7" s="42" t="str">
        <x:v>合同信息导出</x:v>
      </x:c>
      <x:c r="C7" s="42" t="str">
        <x:v>合同信息</x:v>
      </x:c>
      <x:c r="D7" s="42" t="str">
        <x:v>卖方/房东
分组</x:v>
      </x:c>
      <x:c r="E7" s="42" t="str">
        <x:v>卖方/房东</x:v>
      </x:c>
      <x:c r="F7" s="42" t="str">
        <x:v>房源方分组</x:v>
      </x:c>
      <x:c r="G7" s="42" t="str">
        <x:v>房源方经纪人所属分组</x:v>
      </x:c>
      <x:c r="H7" s="42" t="str">
        <x:v>组织/人事</x:v>
      </x:c>
      <x:c r="I7" s="42" t="str">
        <x:v>需要合同信息导出。</x:v>
      </x:c>
      <x:c r="J7" s="42" t="str">
        <x:v>不能由通用deptName稳定拆分。</x:v>
      </x:c>
      <x:c r="K7" s="42" t="str">
        <x:v>普通</x:v>
      </x:c>
    </x:row>
    <x:row r="8">
      <x:c r="A8" s="42" t="n">
        <x:v>4</x:v>
      </x:c>
      <x:c r="B8" s="42" t="str">
        <x:v>合同信息导出</x:v>
      </x:c>
      <x:c r="C8" s="42" t="str">
        <x:v>合同信息</x:v>
      </x:c>
      <x:c r="D8" s="42" t="str">
        <x:v>卖方/房东
门店</x:v>
      </x:c>
      <x:c r="E8" s="42" t="str">
        <x:v>卖方/房东</x:v>
      </x:c>
      <x:c r="F8" s="42" t="str">
        <x:v>房源方门店</x:v>
      </x:c>
      <x:c r="G8" s="42" t="str">
        <x:v>房源方经纪人所属门店</x:v>
      </x:c>
      <x:c r="H8" s="42" t="str">
        <x:v>组织/人事</x:v>
      </x:c>
      <x:c r="I8" s="42" t="str">
        <x:v>需要合同信息导出。</x:v>
      </x:c>
      <x:c r="J8" s="42" t="str">
        <x:v>MCP只返回房源方经纪人，不返回其组织层级。</x:v>
      </x:c>
      <x:c r="K8" s="42" t="str">
        <x:v>普通</x:v>
      </x:c>
    </x:row>
    <x:row r="9">
      <x:c r="A9" s="42" t="n">
        <x:v>5</x:v>
      </x:c>
      <x:c r="B9" s="42" t="str">
        <x:v>合同信息导出</x:v>
      </x:c>
      <x:c r="C9" s="42" t="str">
        <x:v>合同信息</x:v>
      </x:c>
      <x:c r="D9" s="42" t="str">
        <x:v>卖方/房东
片区</x:v>
      </x:c>
      <x:c r="E9" s="42" t="str">
        <x:v>卖方/房东</x:v>
      </x:c>
      <x:c r="F9" s="42" t="str">
        <x:v>房源方片区</x:v>
      </x:c>
      <x:c r="G9" s="42" t="str">
        <x:v>房源方经纪人所属片区</x:v>
      </x:c>
      <x:c r="H9" s="42" t="str">
        <x:v>组织/人事</x:v>
      </x:c>
      <x:c r="I9" s="42" t="str">
        <x:v>需要合同信息导出或人员信息映射。</x:v>
      </x:c>
      <x:c r="J9" s="42" t="str"/>
      <x:c r="K9" s="42" t="str">
        <x:v>普通</x:v>
      </x:c>
    </x:row>
    <x:row r="10">
      <x:c r="A10" s="42" t="n">
        <x:v>6</x:v>
      </x:c>
      <x:c r="B10" s="42" t="str">
        <x:v>合同信息导出</x:v>
      </x:c>
      <x:c r="C10" s="42" t="str">
        <x:v>合同信息</x:v>
      </x:c>
      <x:c r="D10" s="42" t="str">
        <x:v>卖方/房东
大区</x:v>
      </x:c>
      <x:c r="E10" s="42" t="str">
        <x:v>卖方/房东</x:v>
      </x:c>
      <x:c r="F10" s="42" t="str">
        <x:v>房源方大区</x:v>
      </x:c>
      <x:c r="G10" s="42" t="str">
        <x:v>房源方经纪人所属大区</x:v>
      </x:c>
      <x:c r="H10" s="42" t="str">
        <x:v>组织/人事</x:v>
      </x:c>
      <x:c r="I10" s="42" t="str">
        <x:v>需要合同信息导出或人员信息映射。</x:v>
      </x:c>
      <x:c r="J10" s="42" t="str"/>
      <x:c r="K10" s="42" t="str">
        <x:v>普通</x:v>
      </x:c>
    </x:row>
    <x:row r="11">
      <x:c r="A11" s="42" t="n">
        <x:v>7</x:v>
      </x:c>
      <x:c r="B11" s="42" t="str">
        <x:v>合同信息导出</x:v>
      </x:c>
      <x:c r="C11" s="42" t="str">
        <x:v>合同信息</x:v>
      </x:c>
      <x:c r="D11" s="42" t="str">
        <x:v>卖方/房东
运营</x:v>
      </x:c>
      <x:c r="E11" s="42" t="str">
        <x:v>卖方/房东</x:v>
      </x:c>
      <x:c r="F11" s="42" t="str">
        <x:v>房源方运营</x:v>
      </x:c>
      <x:c r="G11" s="42" t="str">
        <x:v>房源方经纪人所属运营层级</x:v>
      </x:c>
      <x:c r="H11" s="42" t="str">
        <x:v>组织/人事</x:v>
      </x:c>
      <x:c r="I11" s="42" t="str">
        <x:v>需要合同信息导出或人员信息映射。</x:v>
      </x:c>
      <x:c r="J11" s="42" t="str"/>
      <x:c r="K11" s="42" t="str">
        <x:v>普通</x:v>
      </x:c>
    </x:row>
    <x:row r="12">
      <x:c r="A12" s="42" t="n">
        <x:v>8</x:v>
      </x:c>
      <x:c r="B12" s="42" t="str">
        <x:v>合同信息导出</x:v>
      </x:c>
      <x:c r="C12" s="42" t="str">
        <x:v>合同信息</x:v>
      </x:c>
      <x:c r="D12" s="42" t="str">
        <x:v>买方/租客
职能</x:v>
      </x:c>
      <x:c r="E12" s="42" t="str">
        <x:v>买方/租客</x:v>
      </x:c>
      <x:c r="F12" s="42" t="str">
        <x:v>客源方职能</x:v>
      </x:c>
      <x:c r="G12" s="42" t="str">
        <x:v>客源方经纪人的职能</x:v>
      </x:c>
      <x:c r="H12" s="42" t="str">
        <x:v>组织/人事</x:v>
      </x:c>
      <x:c r="I12" s="42" t="str">
        <x:v>需要合同信息或人员信息导出。</x:v>
      </x:c>
      <x:c r="J12" s="42" t="str"/>
      <x:c r="K12" s="42" t="str">
        <x:v>中敏</x:v>
      </x:c>
    </x:row>
    <x:row r="13">
      <x:c r="A13" s="42" t="n">
        <x:v>9</x:v>
      </x:c>
      <x:c r="B13" s="42" t="str">
        <x:v>合同信息导出</x:v>
      </x:c>
      <x:c r="C13" s="42" t="str">
        <x:v>合同信息</x:v>
      </x:c>
      <x:c r="D13" s="42" t="str">
        <x:v>买方/租客
分组</x:v>
      </x:c>
      <x:c r="E13" s="42" t="str">
        <x:v>买方/租客</x:v>
      </x:c>
      <x:c r="F13" s="42" t="str">
        <x:v>客源方分组</x:v>
      </x:c>
      <x:c r="G13" s="42" t="str">
        <x:v>客源方经纪人所属分组</x:v>
      </x:c>
      <x:c r="H13" s="42" t="str">
        <x:v>组织/人事</x:v>
      </x:c>
      <x:c r="I13" s="42" t="str">
        <x:v>需要合同信息导出。</x:v>
      </x:c>
      <x:c r="J13" s="42" t="str"/>
      <x:c r="K13" s="42" t="str">
        <x:v>普通</x:v>
      </x:c>
    </x:row>
    <x:row r="14">
      <x:c r="A14" s="42" t="n">
        <x:v>10</x:v>
      </x:c>
      <x:c r="B14" s="42" t="str">
        <x:v>合同信息导出</x:v>
      </x:c>
      <x:c r="C14" s="42" t="str">
        <x:v>合同信息</x:v>
      </x:c>
      <x:c r="D14" s="42" t="str">
        <x:v>买方/租客
门店</x:v>
      </x:c>
      <x:c r="E14" s="42" t="str">
        <x:v>买方/租客</x:v>
      </x:c>
      <x:c r="F14" s="42" t="str">
        <x:v>客源方门店</x:v>
      </x:c>
      <x:c r="G14" s="42" t="str">
        <x:v>客源方经纪人所属门店</x:v>
      </x:c>
      <x:c r="H14" s="42" t="str">
        <x:v>组织/人事</x:v>
      </x:c>
      <x:c r="I14" s="42" t="str">
        <x:v>需要合同信息导出。</x:v>
      </x:c>
      <x:c r="J14" s="42" t="str"/>
      <x:c r="K14" s="42" t="str">
        <x:v>普通</x:v>
      </x:c>
    </x:row>
    <x:row r="15">
      <x:c r="A15" s="42" t="n">
        <x:v>11</x:v>
      </x:c>
      <x:c r="B15" s="42" t="str">
        <x:v>合同信息导出</x:v>
      </x:c>
      <x:c r="C15" s="42" t="str">
        <x:v>合同信息</x:v>
      </x:c>
      <x:c r="D15" s="42" t="str">
        <x:v>买方/租客
片区</x:v>
      </x:c>
      <x:c r="E15" s="42" t="str">
        <x:v>买方/租客</x:v>
      </x:c>
      <x:c r="F15" s="42" t="str">
        <x:v>客源方片区</x:v>
      </x:c>
      <x:c r="G15" s="42" t="str">
        <x:v>客源方经纪人所属片区</x:v>
      </x:c>
      <x:c r="H15" s="42" t="str">
        <x:v>组织/人事</x:v>
      </x:c>
      <x:c r="I15" s="42" t="str">
        <x:v>需要合同信息导出或人员信息映射。</x:v>
      </x:c>
      <x:c r="J15" s="42" t="str"/>
      <x:c r="K15" s="42" t="str">
        <x:v>普通</x:v>
      </x:c>
    </x:row>
    <x:row r="16">
      <x:c r="A16" s="42" t="n">
        <x:v>12</x:v>
      </x:c>
      <x:c r="B16" s="42" t="str">
        <x:v>合同信息导出</x:v>
      </x:c>
      <x:c r="C16" s="42" t="str">
        <x:v>合同信息</x:v>
      </x:c>
      <x:c r="D16" s="42" t="str">
        <x:v>买方/租客
大区</x:v>
      </x:c>
      <x:c r="E16" s="42" t="str">
        <x:v>买方/租客</x:v>
      </x:c>
      <x:c r="F16" s="42" t="str">
        <x:v>客源方大区</x:v>
      </x:c>
      <x:c r="G16" s="42" t="str">
        <x:v>客源方经纪人所属大区</x:v>
      </x:c>
      <x:c r="H16" s="42" t="str">
        <x:v>组织/人事</x:v>
      </x:c>
      <x:c r="I16" s="42" t="str">
        <x:v>需要合同信息导出或人员信息映射。</x:v>
      </x:c>
      <x:c r="J16" s="42" t="str"/>
      <x:c r="K16" s="42" t="str">
        <x:v>普通</x:v>
      </x:c>
    </x:row>
    <x:row r="17">
      <x:c r="A17" s="42" t="n">
        <x:v>13</x:v>
      </x:c>
      <x:c r="B17" s="42" t="str">
        <x:v>合同信息导出</x:v>
      </x:c>
      <x:c r="C17" s="42" t="str">
        <x:v>合同信息</x:v>
      </x:c>
      <x:c r="D17" s="42" t="str">
        <x:v>买方/租客
运营</x:v>
      </x:c>
      <x:c r="E17" s="42" t="str">
        <x:v>买方/租客</x:v>
      </x:c>
      <x:c r="F17" s="42" t="str">
        <x:v>客源方运营</x:v>
      </x:c>
      <x:c r="G17" s="42" t="str">
        <x:v>客源方经纪人所属运营层级</x:v>
      </x:c>
      <x:c r="H17" s="42" t="str">
        <x:v>组织/人事</x:v>
      </x:c>
      <x:c r="I17" s="42" t="str">
        <x:v>需要合同信息导出或人员信息映射。</x:v>
      </x:c>
      <x:c r="J17" s="42" t="str"/>
      <x:c r="K17" s="42" t="str">
        <x:v>普通</x:v>
      </x:c>
    </x:row>
    <x:row r="18">
      <x:c r="A18" s="42" t="n">
        <x:v>14</x:v>
      </x:c>
      <x:c r="B18" s="42" t="str">
        <x:v>合同信息导出</x:v>
      </x:c>
      <x:c r="C18" s="42" t="str">
        <x:v>合同信息</x:v>
      </x:c>
      <x:c r="D18" s="42" t="str">
        <x:v>签约小组</x:v>
      </x:c>
      <x:c r="E18" s="42" t="str"/>
      <x:c r="F18" s="42" t="str">
        <x:v>签约小组</x:v>
      </x:c>
      <x:c r="G18" s="42" t="str">
        <x:v>合同签约所属小组</x:v>
      </x:c>
      <x:c r="H18" s="42" t="str">
        <x:v>组织/人事</x:v>
      </x:c>
      <x:c r="I18" s="42" t="str">
        <x:v>需要客户导出合同信息表。</x:v>
      </x:c>
      <x:c r="J18" s="42" t="str">
        <x:v>MCP没有独立签约小组字段。</x:v>
      </x:c>
      <x:c r="K18" s="42" t="str">
        <x:v>普通</x:v>
      </x:c>
    </x:row>
    <x:row r="19">
      <x:c r="A19" s="42" t="n">
        <x:v>15</x:v>
      </x:c>
      <x:c r="B19" s="42" t="str">
        <x:v>合同信息导出</x:v>
      </x:c>
      <x:c r="C19" s="42" t="str">
        <x:v>合同信息</x:v>
      </x:c>
      <x:c r="D19" s="42" t="str">
        <x:v>交易性质</x:v>
      </x:c>
      <x:c r="E19" s="42" t="str"/>
      <x:c r="F19" s="42" t="str">
        <x:v>交易性质</x:v>
      </x:c>
      <x:c r="G19" s="42" t="str">
        <x:v>合同交易性质或特殊业务属性</x:v>
      </x:c>
      <x:c r="H19" s="42" t="str">
        <x:v>合同补充属性</x:v>
      </x:c>
      <x:c r="I19" s="42" t="str">
        <x:v>需要客户导出合同信息表。</x:v>
      </x:c>
      <x:c r="J19" s="42" t="str">
        <x:v>MCP合同明细未暴露此字段。</x:v>
      </x:c>
      <x:c r="K19" s="42" t="str">
        <x:v>普通</x:v>
      </x:c>
    </x:row>
    <x:row r="20">
      <x:c r="A20" s="42" t="n">
        <x:v>16</x:v>
      </x:c>
      <x:c r="B20" s="42" t="str">
        <x:v>合同信息导出</x:v>
      </x:c>
      <x:c r="C20" s="42" t="str">
        <x:v>合同信息</x:v>
      </x:c>
      <x:c r="D20" s="42" t="str">
        <x:v>有无抵押</x:v>
      </x:c>
      <x:c r="E20" s="42" t="str"/>
      <x:c r="F20" s="42" t="str">
        <x:v>抵押状态</x:v>
      </x:c>
      <x:c r="G20" s="42" t="str">
        <x:v>房屋是否存在抵押</x:v>
      </x:c>
      <x:c r="H20" s="42" t="str">
        <x:v>合同补充属性</x:v>
      </x:c>
      <x:c r="I20" s="42" t="str">
        <x:v>需要客户导出合同信息表。</x:v>
      </x:c>
      <x:c r="J20" s="42" t="str">
        <x:v>MCP合同明细未暴露抵押状态。</x:v>
      </x:c>
      <x:c r="K20" s="42" t="str">
        <x:v>中敏</x:v>
      </x:c>
    </x:row>
    <x:row r="21">
      <x:c r="A21" s="42" t="n">
        <x:v>17</x:v>
      </x:c>
      <x:c r="B21" s="42" t="str">
        <x:v>实收明细导出</x:v>
      </x:c>
      <x:c r="C21" s="42" t="str">
        <x:v>实收明细</x:v>
      </x:c>
      <x:c r="D21" s="42" t="str">
        <x:v>签约分组</x:v>
      </x:c>
      <x:c r="E21" s="42" t="str"/>
      <x:c r="F21" s="42" t="str">
        <x:v>签约分组</x:v>
      </x:c>
      <x:c r="G21" s="42" t="str">
        <x:v>合同签约所属分组</x:v>
      </x:c>
      <x:c r="H21" s="42" t="str">
        <x:v>组织/人事</x:v>
      </x:c>
      <x:c r="I21" s="42" t="str">
        <x:v>需要客户导出实收明细表。</x:v>
      </x:c>
      <x:c r="J21" s="42" t="str">
        <x:v>MCP没有独立签约分组字段。</x:v>
      </x:c>
      <x:c r="K21" s="42" t="str">
        <x:v>普通</x:v>
      </x:c>
    </x:row>
    <x:row r="22">
      <x:c r="A22" s="42" t="n">
        <x:v>18</x:v>
      </x:c>
      <x:c r="B22" s="42" t="str">
        <x:v>业绩明细导出</x:v>
      </x:c>
      <x:c r="C22" s="42" t="str">
        <x:v>业绩分配</x:v>
      </x:c>
      <x:c r="D22" s="42" t="str">
        <x:v>业绩小组</x:v>
      </x:c>
      <x:c r="E22" s="42" t="str"/>
      <x:c r="F22" s="42" t="str">
        <x:v>业绩小组</x:v>
      </x:c>
      <x:c r="G22" s="42" t="str">
        <x:v>业绩人员所属小组</x:v>
      </x:c>
      <x:c r="H22" s="42" t="str">
        <x:v>组织/人事</x:v>
      </x:c>
      <x:c r="I22" s="42" t="str">
        <x:v>需要客户导出业绩分配表。</x:v>
      </x:c>
      <x:c r="J22" s="42" t="str">
        <x:v>MCP没有独立业绩小组字段。</x:v>
      </x:c>
      <x:c r="K22" s="42" t="str">
        <x:v>普通</x:v>
      </x:c>
    </x:row>
    <x:row r="23">
      <x:c r="A23" s="42" t="n">
        <x:v>19</x:v>
      </x:c>
      <x:c r="B23" s="42" t="str">
        <x:v>业绩明细导出</x:v>
      </x:c>
      <x:c r="C23" s="42" t="str">
        <x:v>业绩分配</x:v>
      </x:c>
      <x:c r="D23" s="42" t="str">
        <x:v>总实收业绩</x:v>
      </x:c>
      <x:c r="E23" s="42" t="str"/>
      <x:c r="F23" s="42" t="str">
        <x:v>实收业绩</x:v>
      </x:c>
      <x:c r="G23" s="42" t="str">
        <x:v>该条分配对应的已实收业绩</x:v>
      </x:c>
      <x:c r="H23" s="42" t="str">
        <x:v>金额</x:v>
      </x:c>
      <x:c r="I23" s="42" t="str">
        <x:v>需要客户导出业绩分配表。</x:v>
      </x:c>
      <x:c r="J23" s="42" t="str">
        <x:v>MCP仅列出分配金额，未暴露已实收业绩字段，不能直接等同。</x:v>
      </x:c>
      <x:c r="K23" s="42" t="str">
        <x:v>中敏</x:v>
      </x:c>
    </x:row>
    <x:row r="24">
      <x:c r="A24" s="42" t="n">
        <x:v>20</x:v>
      </x:c>
      <x:c r="B24" s="42" t="str">
        <x:v>人员信息导出</x:v>
      </x:c>
      <x:c r="C24" s="42" t="str">
        <x:v>汇总</x:v>
      </x:c>
      <x:c r="D24" s="42" t="str">
        <x:v>运营</x:v>
      </x:c>
      <x:c r="E24" s="42" t="str"/>
      <x:c r="F24" s="42" t="str">
        <x:v>运营层级</x:v>
      </x:c>
      <x:c r="G24" s="42" t="str">
        <x:v>组织架构中的运营层级</x:v>
      </x:c>
      <x:c r="H24" s="42" t="str">
        <x:v>组织/人事</x:v>
      </x:c>
      <x:c r="I24" s="42" t="str">
        <x:v>必须导出人员信息汇总或人员列表。</x:v>
      </x:c>
      <x:c r="J24" s="42" t="str">
        <x:v>MCP没有完整组织架构树。</x:v>
      </x:c>
      <x:c r="K24" s="42" t="str">
        <x:v>普通</x:v>
      </x:c>
    </x:row>
    <x:row r="25">
      <x:c r="A25" s="42" t="n">
        <x:v>21</x:v>
      </x:c>
      <x:c r="B25" s="42" t="str">
        <x:v>人员信息导出</x:v>
      </x:c>
      <x:c r="C25" s="42" t="str">
        <x:v>汇总</x:v>
      </x:c>
      <x:c r="D25" s="42" t="str">
        <x:v>大区</x:v>
      </x:c>
      <x:c r="E25" s="42" t="str"/>
      <x:c r="F25" s="42" t="str">
        <x:v>大区</x:v>
      </x:c>
      <x:c r="G25" s="42" t="str">
        <x:v>组织架构中的大区层级</x:v>
      </x:c>
      <x:c r="H25" s="42" t="str">
        <x:v>组织/人事</x:v>
      </x:c>
      <x:c r="I25" s="42" t="str">
        <x:v>必须导出人员信息汇总或人员列表。</x:v>
      </x:c>
      <x:c r="J25" s="42" t="str"/>
      <x:c r="K25" s="42" t="str">
        <x:v>普通</x:v>
      </x:c>
    </x:row>
    <x:row r="26">
      <x:c r="A26" s="42" t="n">
        <x:v>22</x:v>
      </x:c>
      <x:c r="B26" s="42" t="str">
        <x:v>人员信息导出</x:v>
      </x:c>
      <x:c r="C26" s="42" t="str">
        <x:v>汇总</x:v>
      </x:c>
      <x:c r="D26" s="42" t="str">
        <x:v>片区</x:v>
      </x:c>
      <x:c r="E26" s="42" t="str"/>
      <x:c r="F26" s="42" t="str">
        <x:v>片区</x:v>
      </x:c>
      <x:c r="G26" s="42" t="str">
        <x:v>组织架构中的片区层级</x:v>
      </x:c>
      <x:c r="H26" s="42" t="str">
        <x:v>组织/人事</x:v>
      </x:c>
      <x:c r="I26" s="42" t="str">
        <x:v>必须导出人员信息汇总或人员列表。</x:v>
      </x:c>
      <x:c r="J26" s="42" t="str"/>
      <x:c r="K26" s="42" t="str">
        <x:v>普通</x:v>
      </x:c>
    </x:row>
    <x:row r="27">
      <x:c r="A27" s="42" t="n">
        <x:v>23</x:v>
      </x:c>
      <x:c r="B27" s="42" t="str">
        <x:v>人员信息导出</x:v>
      </x:c>
      <x:c r="C27" s="42" t="str">
        <x:v>汇总</x:v>
      </x:c>
      <x:c r="D27" s="42" t="str">
        <x:v>人数</x:v>
      </x:c>
      <x:c r="E27" s="42" t="str"/>
      <x:c r="F27" s="42" t="str">
        <x:v>在册人数</x:v>
      </x:c>
      <x:c r="G27" s="42" t="str">
        <x:v>该组织节点下的人员数量</x:v>
      </x:c>
      <x:c r="H27" s="42" t="str">
        <x:v>人员统计</x:v>
      </x:c>
      <x:c r="I27" s="42" t="str">
        <x:v>必须导出人员信息汇总或人员列表后统计。</x:v>
      </x:c>
      <x:c r="J27" s="42" t="str">
        <x:v>不能用有业务记录人数代替在册人数。</x:v>
      </x:c>
      <x:c r="K27" s="42" t="str">
        <x:v>中敏</x:v>
      </x:c>
    </x:row>
    <x:row r="28">
      <x:c r="A28" s="42" t="n">
        <x:v>24</x:v>
      </x:c>
      <x:c r="B28" s="42" t="str">
        <x:v>人员信息导出</x:v>
      </x:c>
      <x:c r="C28" s="42" t="str">
        <x:v>人员列表</x:v>
      </x:c>
      <x:c r="D28" s="42" t="str">
        <x:v>运营</x:v>
      </x:c>
      <x:c r="E28" s="42" t="str"/>
      <x:c r="F28" s="42" t="str">
        <x:v>运营层级</x:v>
      </x:c>
      <x:c r="G28" s="42" t="str">
        <x:v>员工所属运营层级</x:v>
      </x:c>
      <x:c r="H28" s="42" t="str">
        <x:v>组织/人事</x:v>
      </x:c>
      <x:c r="I28" s="42" t="str">
        <x:v>必须导出人员列表。</x:v>
      </x:c>
      <x:c r="J28" s="42" t="str"/>
      <x:c r="K28" s="42" t="str">
        <x:v>普通</x:v>
      </x:c>
    </x:row>
    <x:row r="29">
      <x:c r="A29" s="42" t="n">
        <x:v>25</x:v>
      </x:c>
      <x:c r="B29" s="42" t="str">
        <x:v>人员信息导出</x:v>
      </x:c>
      <x:c r="C29" s="42" t="str">
        <x:v>人员列表</x:v>
      </x:c>
      <x:c r="D29" s="42" t="str">
        <x:v>大区</x:v>
      </x:c>
      <x:c r="E29" s="42" t="str"/>
      <x:c r="F29" s="42" t="str">
        <x:v>大区</x:v>
      </x:c>
      <x:c r="G29" s="42" t="str">
        <x:v>员工所属大区</x:v>
      </x:c>
      <x:c r="H29" s="42" t="str">
        <x:v>组织/人事</x:v>
      </x:c>
      <x:c r="I29" s="42" t="str">
        <x:v>必须导出人员列表。</x:v>
      </x:c>
      <x:c r="J29" s="42" t="str"/>
      <x:c r="K29" s="42" t="str">
        <x:v>普通</x:v>
      </x:c>
    </x:row>
    <x:row r="30">
      <x:c r="A30" s="42" t="n">
        <x:v>26</x:v>
      </x:c>
      <x:c r="B30" s="42" t="str">
        <x:v>人员信息导出</x:v>
      </x:c>
      <x:c r="C30" s="42" t="str">
        <x:v>人员列表</x:v>
      </x:c>
      <x:c r="D30" s="42" t="str">
        <x:v>片区</x:v>
      </x:c>
      <x:c r="E30" s="42" t="str"/>
      <x:c r="F30" s="42" t="str">
        <x:v>片区</x:v>
      </x:c>
      <x:c r="G30" s="42" t="str">
        <x:v>员工所属片区</x:v>
      </x:c>
      <x:c r="H30" s="42" t="str">
        <x:v>组织/人事</x:v>
      </x:c>
      <x:c r="I30" s="42" t="str">
        <x:v>必须导出人员列表。</x:v>
      </x:c>
      <x:c r="J30" s="42" t="str"/>
      <x:c r="K30" s="42" t="str">
        <x:v>普通</x:v>
      </x:c>
    </x:row>
    <x:row r="31">
      <x:c r="A31" s="42" t="n">
        <x:v>27</x:v>
      </x:c>
      <x:c r="B31" s="42" t="str">
        <x:v>人员信息导出</x:v>
      </x:c>
      <x:c r="C31" s="42" t="str">
        <x:v>人员列表</x:v>
      </x:c>
      <x:c r="D31" s="42" t="str">
        <x:v>职能</x:v>
      </x:c>
      <x:c r="E31" s="42" t="str"/>
      <x:c r="F31" s="42" t="str">
        <x:v>职能</x:v>
      </x:c>
      <x:c r="G31" s="42" t="str">
        <x:v>员工业务职能</x:v>
      </x:c>
      <x:c r="H31" s="42" t="str">
        <x:v>组织/人事</x:v>
      </x:c>
      <x:c r="I31" s="42" t="str">
        <x:v>必须导出人员列表。</x:v>
      </x:c>
      <x:c r="J31" s="42" t="str"/>
      <x:c r="K31" s="42" t="str">
        <x:v>中敏</x:v>
      </x:c>
    </x:row>
    <x:row r="32">
      <x:c r="A32" s="42" t="n">
        <x:v>28</x:v>
      </x:c>
      <x:c r="B32" s="42" t="str">
        <x:v>人员信息导出</x:v>
      </x:c>
      <x:c r="C32" s="42" t="str">
        <x:v>人员列表</x:v>
      </x:c>
      <x:c r="D32" s="42" t="str">
        <x:v>性别</x:v>
      </x:c>
      <x:c r="E32" s="42" t="str"/>
      <x:c r="F32" s="42" t="str">
        <x:v>性别</x:v>
      </x:c>
      <x:c r="G32" s="42" t="str">
        <x:v>员工性别</x:v>
      </x:c>
      <x:c r="H32" s="42" t="str">
        <x:v>人员敏感信息</x:v>
      </x:c>
      <x:c r="I32" s="42" t="str">
        <x:v>仅在业务确有必要时导出并限制使用。</x:v>
      </x:c>
      <x:c r="J32" s="42" t="str"/>
      <x:c r="K32" s="42" t="str">
        <x:v>高敏</x:v>
      </x:c>
    </x:row>
    <x:row r="33">
      <x:c r="A33" s="42" t="n">
        <x:v>29</x:v>
      </x:c>
      <x:c r="B33" s="42" t="str">
        <x:v>人员信息导出</x:v>
      </x:c>
      <x:c r="C33" s="42" t="str">
        <x:v>人员列表</x:v>
      </x:c>
      <x:c r="D33" s="42" t="str">
        <x:v>岗位</x:v>
      </x:c>
      <x:c r="E33" s="42" t="str"/>
      <x:c r="F33" s="42" t="str">
        <x:v>岗位</x:v>
      </x:c>
      <x:c r="G33" s="42" t="str">
        <x:v>员工岗位名称</x:v>
      </x:c>
      <x:c r="H33" s="42" t="str">
        <x:v>组织/人事</x:v>
      </x:c>
      <x:c r="I33" s="42" t="str">
        <x:v>必须导出人员列表。</x:v>
      </x:c>
      <x:c r="J33" s="42" t="str"/>
      <x:c r="K33" s="42" t="str">
        <x:v>中敏</x:v>
      </x:c>
    </x:row>
    <x:row r="34">
      <x:c r="A34" s="42" t="n">
        <x:v>30</x:v>
      </x:c>
      <x:c r="B34" s="42" t="str">
        <x:v>人员信息导出</x:v>
      </x:c>
      <x:c r="C34" s="42" t="str">
        <x:v>人员列表</x:v>
      </x:c>
      <x:c r="D34" s="42" t="str">
        <x:v>电话</x:v>
      </x:c>
      <x:c r="E34" s="42" t="str"/>
      <x:c r="F34" s="42" t="str">
        <x:v>手机号</x:v>
      </x:c>
      <x:c r="G34" s="42" t="str">
        <x:v>员工联系电话</x:v>
      </x:c>
      <x:c r="H34" s="42" t="str">
        <x:v>人员敏感信息</x:v>
      </x:c>
      <x:c r="I34" s="42" t="str">
        <x:v>仅在确有必要时导出，默认脱敏。</x:v>
      </x:c>
      <x:c r="J34" s="42" t="str">
        <x:v>合同明细工具说明明确不含手机号。</x:v>
      </x:c>
      <x:c r="K34" s="42" t="str">
        <x:v>高敏</x:v>
      </x:c>
    </x:row>
    <x:row r="35">
      <x:c r="A35" s="42" t="n">
        <x:v>31</x:v>
      </x:c>
      <x:c r="B35" s="42" t="str">
        <x:v>人员信息导出</x:v>
      </x:c>
      <x:c r="C35" s="42" t="str">
        <x:v>人员列表</x:v>
      </x:c>
      <x:c r="D35" s="42" t="str">
        <x:v>离职</x:v>
      </x:c>
      <x:c r="E35" s="42" t="str"/>
      <x:c r="F35" s="42" t="str">
        <x:v>离职状态</x:v>
      </x:c>
      <x:c r="G35" s="42" t="str">
        <x:v>员工是否离职</x:v>
      </x:c>
      <x:c r="H35" s="42" t="str">
        <x:v>人事状态</x:v>
      </x:c>
      <x:c r="I35" s="42" t="str">
        <x:v>人均、在职率、离职后业绩等需求必须导出。</x:v>
      </x:c>
      <x:c r="J35" s="42" t="str"/>
      <x:c r="K35" s="42" t="str">
        <x:v>高敏</x:v>
      </x:c>
    </x:row>
    <x:row r="36">
      <x:c r="A36" s="42" t="n">
        <x:v>32</x:v>
      </x:c>
      <x:c r="B36" s="42" t="str">
        <x:v>人员信息导出</x:v>
      </x:c>
      <x:c r="C36" s="42" t="str">
        <x:v>人员列表</x:v>
      </x:c>
      <x:c r="D36" s="42" t="str">
        <x:v>离职时间</x:v>
      </x:c>
      <x:c r="E36" s="42" t="str"/>
      <x:c r="F36" s="42" t="str">
        <x:v>离职时间</x:v>
      </x:c>
      <x:c r="G36" s="42" t="str">
        <x:v>员工离职日期</x:v>
      </x:c>
      <x:c r="H36" s="42" t="str">
        <x:v>日期/人事</x:v>
      </x:c>
      <x:c r="I36" s="42" t="str">
        <x:v>人均指标按时间点计算时必须使用。</x:v>
      </x:c>
      <x:c r="J36" s="42" t="str"/>
      <x:c r="K36" s="42" t="str">
        <x:v>高敏</x:v>
      </x:c>
    </x:row>
    <x:row r="37">
      <x:c r="A37" s="42" t="n">
        <x:v>33</x:v>
      </x:c>
      <x:c r="B37" s="42" t="str">
        <x:v>人员信息导出</x:v>
      </x:c>
      <x:c r="C37" s="42" t="str">
        <x:v>人员列表</x:v>
      </x:c>
      <x:c r="D37" s="42" t="str">
        <x:v>冻结</x:v>
      </x:c>
      <x:c r="E37" s="42" t="str"/>
      <x:c r="F37" s="42" t="str">
        <x:v>冻结状态</x:v>
      </x:c>
      <x:c r="G37" s="42" t="str">
        <x:v>账号是否冻结</x:v>
      </x:c>
      <x:c r="H37" s="42" t="str">
        <x:v>账号状态</x:v>
      </x:c>
      <x:c r="I37" s="42" t="str">
        <x:v>必须导出人员列表。</x:v>
      </x:c>
      <x:c r="J37" s="42" t="str"/>
      <x:c r="K37" s="42" t="str">
        <x:v>中敏</x:v>
      </x:c>
    </x:row>
    <x:row r="38">
      <x:c r="A38" s="42" t="n">
        <x:v>34</x:v>
      </x:c>
      <x:c r="B38" s="42" t="str">
        <x:v>人员信息导出</x:v>
      </x:c>
      <x:c r="C38" s="42" t="str">
        <x:v>人员列表</x:v>
      </x:c>
      <x:c r="D38" s="42" t="str">
        <x:v>冻结时间</x:v>
      </x:c>
      <x:c r="E38" s="42" t="str"/>
      <x:c r="F38" s="42" t="str">
        <x:v>冻结时间</x:v>
      </x:c>
      <x:c r="G38" s="42" t="str">
        <x:v>账号冻结时间</x:v>
      </x:c>
      <x:c r="H38" s="42" t="str">
        <x:v>日期/账号</x:v>
      </x:c>
      <x:c r="I38" s="42" t="str">
        <x:v>必须导出人员列表。</x:v>
      </x:c>
      <x:c r="J38" s="42" t="str"/>
      <x:c r="K38" s="42" t="str">
        <x:v>中敏</x:v>
      </x:c>
    </x:row>
    <x:row r="39">
      <x:c r="A39" s="42" t="n">
        <x:v>35</x:v>
      </x:c>
      <x:c r="B39" s="42" t="str">
        <x:v>人员信息导出</x:v>
      </x:c>
      <x:c r="C39" s="42" t="str">
        <x:v>人员列表</x:v>
      </x:c>
      <x:c r="D39" s="42" t="str">
        <x:v>最近登录时间</x:v>
      </x:c>
      <x:c r="E39" s="42" t="str"/>
      <x:c r="F39" s="42" t="str">
        <x:v>最近登录时间</x:v>
      </x:c>
      <x:c r="G39" s="42" t="str">
        <x:v>员工最近登录ERP时间</x:v>
      </x:c>
      <x:c r="H39" s="42" t="str">
        <x:v>系统行为</x:v>
      </x:c>
      <x:c r="I39" s="42" t="str">
        <x:v>活跃账号分析需要导出。</x:v>
      </x:c>
      <x:c r="J39" s="42" t="str"/>
      <x:c r="K39" s="42" t="str">
        <x:v>中敏</x:v>
      </x:c>
    </x:row>
    <x:row r="40">
      <x:c r="A40" s="42" t="n">
        <x:v>36</x:v>
      </x:c>
      <x:c r="B40" s="42" t="str">
        <x:v>人员信息导出</x:v>
      </x:c>
      <x:c r="C40" s="42" t="str">
        <x:v>人员列表</x:v>
      </x:c>
      <x:c r="D40" s="42" t="str">
        <x:v>提成方案</x:v>
      </x:c>
      <x:c r="E40" s="42" t="str"/>
      <x:c r="F40" s="42" t="str">
        <x:v>提成方案</x:v>
      </x:c>
      <x:c r="G40" s="42" t="str">
        <x:v>员工适用的提成方案</x:v>
      </x:c>
      <x:c r="H40" s="42" t="str">
        <x:v>薪酬敏感信息</x:v>
      </x:c>
      <x:c r="I40" s="42" t="str">
        <x:v>仅在授权的薪酬分析场景导出。</x:v>
      </x:c>
      <x:c r="J40" s="42" t="str"/>
      <x:c r="K40" s="42" t="str">
        <x:v>高敏</x:v>
      </x:c>
    </x:row>
    <x:row r="41">
      <x:c r="A41" s="42" t="n">
        <x:v>37</x:v>
      </x:c>
      <x:c r="B41" s="42" t="str">
        <x:v>人员信息导出</x:v>
      </x:c>
      <x:c r="C41" s="42" t="str">
        <x:v>人员列表</x:v>
      </x:c>
      <x:c r="D41" s="42" t="str">
        <x:v>身份证号</x:v>
      </x:c>
      <x:c r="E41" s="42" t="str"/>
      <x:c r="F41" s="42" t="str">
        <x:v>身份证号</x:v>
      </x:c>
      <x:c r="G41" s="42" t="str">
        <x:v>员工证件号码</x:v>
      </x:c>
      <x:c r="H41" s="42" t="str">
        <x:v>人员敏感信息</x:v>
      </x:c>
      <x:c r="I41" s="42" t="str">
        <x:v>原则上不应为一般经营分析导出；确需使用必须脱敏。</x:v>
      </x:c>
      <x:c r="J41" s="42" t="str"/>
      <x:c r="K41" s="42" t="str">
        <x:v>高敏</x:v>
      </x:c>
    </x:row>
    <x:row r="42">
      <x:c r="A42" s="42" t="n">
        <x:v>38</x:v>
      </x:c>
      <x:c r="B42" s="42" t="str">
        <x:v>人员信息导出</x:v>
      </x:c>
      <x:c r="C42" s="42" t="str">
        <x:v>人员列表</x:v>
      </x:c>
      <x:c r="D42" s="42" t="str">
        <x:v>工号</x:v>
      </x:c>
      <x:c r="E42" s="42" t="str"/>
      <x:c r="F42" s="42" t="str">
        <x:v>工号</x:v>
      </x:c>
      <x:c r="G42" s="42" t="str">
        <x:v>员工内部工号</x:v>
      </x:c>
      <x:c r="H42" s="42" t="str">
        <x:v>人员标识</x:v>
      </x:c>
      <x:c r="I42" s="42" t="str">
        <x:v>建议作为人员主键之一导出。</x:v>
      </x:c>
      <x:c r="J42" s="42" t="str">
        <x:v>优先用工号而非姓名做人员匹配。</x:v>
      </x:c>
      <x:c r="K42" s="42" t="str">
        <x:v>中敏</x:v>
      </x:c>
    </x:row>
    <x:row r="43">
      <x:c r="A43" s="42" t="n">
        <x:v>39</x:v>
      </x:c>
      <x:c r="B43" s="42" t="str">
        <x:v>人员信息导出</x:v>
      </x:c>
      <x:c r="C43" s="42" t="str">
        <x:v>人员列表</x:v>
      </x:c>
      <x:c r="D43" s="42" t="str">
        <x:v>入职日期</x:v>
      </x:c>
      <x:c r="E43" s="42" t="str"/>
      <x:c r="F43" s="42" t="str">
        <x:v>入职日期</x:v>
      </x:c>
      <x:c r="G43" s="42" t="str">
        <x:v>员工入职日期</x:v>
      </x:c>
      <x:c r="H43" s="42" t="str">
        <x:v>日期/人事</x:v>
      </x:c>
      <x:c r="I43" s="42" t="str">
        <x:v>在职人数、司龄、人均产能分析需要导出。</x:v>
      </x:c>
      <x:c r="J43" s="42" t="str"/>
      <x:c r="K43" s="42" t="str">
        <x:v>高敏</x:v>
      </x:c>
    </x:row>
    <x:row r="44">
      <x:c r="A44" s="42" t="n">
        <x:v>40</x:v>
      </x:c>
      <x:c r="B44" s="42" t="str">
        <x:v>人员信息导出</x:v>
      </x:c>
      <x:c r="C44" s="42" t="str">
        <x:v>人员列表</x:v>
      </x:c>
      <x:c r="D44" s="42" t="str">
        <x:v>出生日期</x:v>
      </x:c>
      <x:c r="E44" s="42" t="str"/>
      <x:c r="F44" s="42" t="str">
        <x:v>出生日期</x:v>
      </x:c>
      <x:c r="G44" s="42" t="str">
        <x:v>员工出生日期</x:v>
      </x:c>
      <x:c r="H44" s="42" t="str">
        <x:v>人员敏感信息</x:v>
      </x:c>
      <x:c r="I44" s="42" t="str">
        <x:v>一般经营分析不建议导出。</x:v>
      </x:c>
      <x:c r="J44" s="42" t="str"/>
      <x:c r="K44" s="42" t="str">
        <x:v>高敏</x:v>
      </x:c>
    </x:row>
    <x:row r="45">
      <x:c r="A45" s="42" t="n">
        <x:v>41</x:v>
      </x:c>
      <x:c r="B45" s="42" t="str">
        <x:v>人员信息导出</x:v>
      </x:c>
      <x:c r="C45" s="42" t="str">
        <x:v>人员列表</x:v>
      </x:c>
      <x:c r="D45" s="42" t="str">
        <x:v>招聘渠道</x:v>
      </x:c>
      <x:c r="E45" s="42" t="str"/>
      <x:c r="F45" s="42" t="str">
        <x:v>招聘渠道</x:v>
      </x:c>
      <x:c r="G45" s="42" t="str">
        <x:v>员工来源招聘渠道</x:v>
      </x:c>
      <x:c r="H45" s="42" t="str">
        <x:v>人事信息</x:v>
      </x:c>
      <x:c r="I45" s="42" t="str">
        <x:v>招聘效果分析需要导出。</x:v>
      </x:c>
      <x:c r="J45" s="42" t="str"/>
      <x:c r="K45" s="42" t="str">
        <x:v>高敏</x:v>
      </x:c>
    </x:row>
    <x:row r="46">
      <x:c r="A46" s="42" t="n">
        <x:v>42</x:v>
      </x:c>
      <x:c r="B46" s="42" t="str">
        <x:v>人员信息导出</x:v>
      </x:c>
      <x:c r="C46" s="42" t="str">
        <x:v>人员列表</x:v>
      </x:c>
      <x:c r="D46" s="42" t="str">
        <x:v>推荐人</x:v>
      </x:c>
      <x:c r="E46" s="42" t="str"/>
      <x:c r="F46" s="42" t="str">
        <x:v>推荐人</x:v>
      </x:c>
      <x:c r="G46" s="42" t="str">
        <x:v>内部推荐人</x:v>
      </x:c>
      <x:c r="H46" s="42" t="str">
        <x:v>人员关系</x:v>
      </x:c>
      <x:c r="I46" s="42" t="str">
        <x:v>推荐招聘分析需要导出。</x:v>
      </x:c>
      <x:c r="J46" s="42" t="str"/>
      <x:c r="K46" s="42" t="str">
        <x:v>高敏</x:v>
      </x:c>
    </x:row>
    <x:row r="47">
      <x:c r="A47" s="42" t="n">
        <x:v>43</x:v>
      </x:c>
      <x:c r="B47" s="42" t="str">
        <x:v>人员信息导出</x:v>
      </x:c>
      <x:c r="C47" s="42" t="str">
        <x:v>人员列表</x:v>
      </x:c>
      <x:c r="D47" s="42" t="str">
        <x:v>籍贯</x:v>
      </x:c>
      <x:c r="E47" s="42" t="str"/>
      <x:c r="F47" s="42" t="str">
        <x:v>籍贯</x:v>
      </x:c>
      <x:c r="G47" s="42" t="str">
        <x:v>员工籍贯</x:v>
      </x:c>
      <x:c r="H47" s="42" t="str">
        <x:v>人员敏感信息</x:v>
      </x:c>
      <x:c r="I47" s="42" t="str">
        <x:v>一般经营分析不建议导出。</x:v>
      </x:c>
      <x:c r="J47" s="42" t="str"/>
      <x:c r="K47" s="42" t="str">
        <x:v>高敏</x:v>
      </x:c>
    </x:row>
    <x:row r="48">
      <x:c r="A48" s="42" t="n">
        <x:v>44</x:v>
      </x:c>
      <x:c r="B48" s="42" t="str">
        <x:v>人员信息导出</x:v>
      </x:c>
      <x:c r="C48" s="42" t="str">
        <x:v>人员列表</x:v>
      </x:c>
      <x:c r="D48" s="42" t="str">
        <x:v>民族</x:v>
      </x:c>
      <x:c r="E48" s="42" t="str"/>
      <x:c r="F48" s="42" t="str">
        <x:v>民族</x:v>
      </x:c>
      <x:c r="G48" s="42" t="str">
        <x:v>员工民族信息</x:v>
      </x:c>
      <x:c r="H48" s="42" t="str">
        <x:v>敏感个人属性</x:v>
      </x:c>
      <x:c r="I48" s="42" t="str">
        <x:v>非必要不得导出或分析。</x:v>
      </x:c>
      <x:c r="J48" s="42" t="str"/>
      <x:c r="K48" s="42" t="str">
        <x:v>高敏</x:v>
      </x:c>
    </x:row>
    <x:row r="49">
      <x:c r="A49" s="42" t="n">
        <x:v>45</x:v>
      </x:c>
      <x:c r="B49" s="42" t="str">
        <x:v>人员信息导出</x:v>
      </x:c>
      <x:c r="C49" s="42" t="str">
        <x:v>人员列表</x:v>
      </x:c>
      <x:c r="D49" s="42" t="str">
        <x:v>婚姻状况</x:v>
      </x:c>
      <x:c r="E49" s="42" t="str"/>
      <x:c r="F49" s="42" t="str">
        <x:v>婚姻状况</x:v>
      </x:c>
      <x:c r="G49" s="42" t="str">
        <x:v>员工婚姻状态</x:v>
      </x:c>
      <x:c r="H49" s="42" t="str">
        <x:v>敏感个人属性</x:v>
      </x:c>
      <x:c r="I49" s="42" t="str">
        <x:v>非必要不得导出或分析。</x:v>
      </x:c>
      <x:c r="J49" s="42" t="str"/>
      <x:c r="K49" s="42" t="str">
        <x:v>高敏</x:v>
      </x:c>
    </x:row>
    <x:row r="50">
      <x:c r="A50" s="42" t="n">
        <x:v>46</x:v>
      </x:c>
      <x:c r="B50" s="42" t="str">
        <x:v>人员信息导出</x:v>
      </x:c>
      <x:c r="C50" s="42" t="str">
        <x:v>人员列表</x:v>
      </x:c>
      <x:c r="D50" s="42" t="str">
        <x:v>政治面貌</x:v>
      </x:c>
      <x:c r="E50" s="42" t="str"/>
      <x:c r="F50" s="42" t="str">
        <x:v>政治面貌</x:v>
      </x:c>
      <x:c r="G50" s="42" t="str">
        <x:v>员工政治面貌</x:v>
      </x:c>
      <x:c r="H50" s="42" t="str">
        <x:v>敏感个人属性</x:v>
      </x:c>
      <x:c r="I50" s="42" t="str">
        <x:v>非必要不得导出或分析。</x:v>
      </x:c>
      <x:c r="J50" s="42" t="str"/>
      <x:c r="K50" s="42" t="str">
        <x:v>高敏</x:v>
      </x:c>
    </x:row>
    <x:row r="51">
      <x:c r="A51" s="42" t="n">
        <x:v>47</x:v>
      </x:c>
      <x:c r="B51" s="42" t="str">
        <x:v>人员信息导出</x:v>
      </x:c>
      <x:c r="C51" s="42" t="str">
        <x:v>人员列表</x:v>
      </x:c>
      <x:c r="D51" s="42" t="str">
        <x:v>最高学历</x:v>
      </x:c>
      <x:c r="E51" s="42" t="str"/>
      <x:c r="F51" s="42" t="str">
        <x:v>最高学历</x:v>
      </x:c>
      <x:c r="G51" s="42" t="str">
        <x:v>员工最高学历</x:v>
      </x:c>
      <x:c r="H51" s="42" t="str">
        <x:v>人事信息</x:v>
      </x:c>
      <x:c r="I51" s="42" t="str">
        <x:v>人才结构分析需要导出。</x:v>
      </x:c>
      <x:c r="J51" s="42" t="str"/>
      <x:c r="K51" s="42" t="str">
        <x:v>高敏</x:v>
      </x:c>
    </x:row>
    <x:row r="52">
      <x:c r="A52" s="42" t="n">
        <x:v>48</x:v>
      </x:c>
      <x:c r="B52" s="42" t="str">
        <x:v>人员信息导出</x:v>
      </x:c>
      <x:c r="C52" s="42" t="str">
        <x:v>人员列表</x:v>
      </x:c>
      <x:c r="D52" s="42" t="str">
        <x:v>毕业年份</x:v>
      </x:c>
      <x:c r="E52" s="42" t="str"/>
      <x:c r="F52" s="42" t="str">
        <x:v>毕业年份</x:v>
      </x:c>
      <x:c r="G52" s="42" t="str">
        <x:v>最高学历毕业年份</x:v>
      </x:c>
      <x:c r="H52" s="42" t="str">
        <x:v>人事信息</x:v>
      </x:c>
      <x:c r="I52" s="42" t="str">
        <x:v>人才结构分析需要导出。</x:v>
      </x:c>
      <x:c r="J52" s="42" t="str"/>
      <x:c r="K52" s="42" t="str">
        <x:v>中敏</x:v>
      </x:c>
    </x:row>
    <x:row r="53">
      <x:c r="A53" s="42" t="n">
        <x:v>49</x:v>
      </x:c>
      <x:c r="B53" s="42" t="str">
        <x:v>人员信息导出</x:v>
      </x:c>
      <x:c r="C53" s="42" t="str">
        <x:v>人员列表</x:v>
      </x:c>
      <x:c r="D53" s="42" t="str">
        <x:v>毕业院校</x:v>
      </x:c>
      <x:c r="E53" s="42" t="str"/>
      <x:c r="F53" s="42" t="str">
        <x:v>毕业院校</x:v>
      </x:c>
      <x:c r="G53" s="42" t="str">
        <x:v>员工毕业院校</x:v>
      </x:c>
      <x:c r="H53" s="42" t="str">
        <x:v>人事信息</x:v>
      </x:c>
      <x:c r="I53" s="42" t="str">
        <x:v>人才结构分析需要导出。</x:v>
      </x:c>
      <x:c r="J53" s="42" t="str"/>
      <x:c r="K53" s="42" t="str">
        <x:v>高敏</x:v>
      </x:c>
    </x:row>
    <x:row r="54">
      <x:c r="A54" s="42" t="n">
        <x:v>50</x:v>
      </x:c>
      <x:c r="B54" s="42" t="str">
        <x:v>人员信息导出</x:v>
      </x:c>
      <x:c r="C54" s="42" t="str">
        <x:v>人员列表</x:v>
      </x:c>
      <x:c r="D54" s="42" t="str">
        <x:v>专业</x:v>
      </x:c>
      <x:c r="E54" s="42" t="str"/>
      <x:c r="F54" s="42" t="str">
        <x:v>专业</x:v>
      </x:c>
      <x:c r="G54" s="42" t="str">
        <x:v>员工所学专业</x:v>
      </x:c>
      <x:c r="H54" s="42" t="str">
        <x:v>人事信息</x:v>
      </x:c>
      <x:c r="I54" s="42" t="str">
        <x:v>人才结构分析需要导出。</x:v>
      </x:c>
      <x:c r="J54" s="42" t="str"/>
      <x:c r="K54" s="42" t="str">
        <x:v>高敏</x:v>
      </x:c>
    </x:row>
    <x:row r="55">
      <x:c r="A55" s="42" t="n">
        <x:v>51</x:v>
      </x:c>
      <x:c r="B55" s="42" t="str">
        <x:v>人员信息导出</x:v>
      </x:c>
      <x:c r="C55" s="42" t="str">
        <x:v>人员列表</x:v>
      </x:c>
      <x:c r="D55" s="42" t="str">
        <x:v>银行卡号</x:v>
      </x:c>
      <x:c r="E55" s="42" t="str"/>
      <x:c r="F55" s="42" t="str">
        <x:v>银行卡号</x:v>
      </x:c>
      <x:c r="G55" s="42" t="str">
        <x:v>员工工资或结算银行卡号</x:v>
      </x:c>
      <x:c r="H55" s="42" t="str">
        <x:v>金融敏感信息</x:v>
      </x:c>
      <x:c r="I55" s="42" t="str">
        <x:v>禁止用于一般经营分析；确需处理必须严格授权和脱敏。</x:v>
      </x:c>
      <x:c r="J55" s="42" t="str"/>
      <x:c r="K55" s="42" t="str">
        <x:v>高敏</x:v>
      </x:c>
    </x:row>
    <x:row r="56">
      <x:c r="A56" s="42" t="n">
        <x:v>52</x:v>
      </x:c>
      <x:c r="B56" s="42" t="str">
        <x:v>人员信息导出</x:v>
      </x:c>
      <x:c r="C56" s="42" t="str">
        <x:v>人员列表</x:v>
      </x:c>
      <x:c r="D56" s="42" t="str">
        <x:v>开户银行</x:v>
      </x:c>
      <x:c r="E56" s="42" t="str"/>
      <x:c r="F56" s="42" t="str">
        <x:v>开户银行</x:v>
      </x:c>
      <x:c r="G56" s="42" t="str">
        <x:v>银行卡开户银行</x:v>
      </x:c>
      <x:c r="H56" s="42" t="str">
        <x:v>金融敏感信息</x:v>
      </x:c>
      <x:c r="I56" s="42" t="str">
        <x:v>非薪酬结算场景不要导出。</x:v>
      </x:c>
      <x:c r="J56" s="42" t="str"/>
      <x:c r="K56" s="42" t="str">
        <x:v>高敏</x:v>
      </x:c>
    </x:row>
    <x:row r="57">
      <x:c r="A57" s="42" t="n">
        <x:v>53</x:v>
      </x:c>
      <x:c r="B57" s="42" t="str">
        <x:v>人员信息导出</x:v>
      </x:c>
      <x:c r="C57" s="42" t="str">
        <x:v>人员列表</x:v>
      </x:c>
      <x:c r="D57" s="42" t="str">
        <x:v>社保账户</x:v>
      </x:c>
      <x:c r="E57" s="42" t="str"/>
      <x:c r="F57" s="42" t="str">
        <x:v>社保账户</x:v>
      </x:c>
      <x:c r="G57" s="42" t="str">
        <x:v>员工社保账户信息</x:v>
      </x:c>
      <x:c r="H57" s="42" t="str">
        <x:v>金融/人事敏感信息</x:v>
      </x:c>
      <x:c r="I57" s="42" t="str">
        <x:v>非必要不得导出。</x:v>
      </x:c>
      <x:c r="J57" s="42" t="str"/>
      <x:c r="K57" s="42" t="str">
        <x:v>高敏</x:v>
      </x:c>
    </x:row>
    <x:row r="58">
      <x:c r="A58" s="42" t="n">
        <x:v>54</x:v>
      </x:c>
      <x:c r="B58" s="42" t="str">
        <x:v>人员信息导出</x:v>
      </x:c>
      <x:c r="C58" s="42" t="str">
        <x:v>人员列表</x:v>
      </x:c>
      <x:c r="D58" s="42" t="str">
        <x:v>公积金号</x:v>
      </x:c>
      <x:c r="E58" s="42" t="str"/>
      <x:c r="F58" s="42" t="str">
        <x:v>公积金账号</x:v>
      </x:c>
      <x:c r="G58" s="42" t="str">
        <x:v>员工公积金账号</x:v>
      </x:c>
      <x:c r="H58" s="42" t="str">
        <x:v>金融/人事敏感信息</x:v>
      </x:c>
      <x:c r="I58" s="42" t="str">
        <x:v>非必要不得导出。</x:v>
      </x:c>
      <x:c r="J58" s="42" t="str"/>
      <x:c r="K58" s="42" t="str">
        <x:v>高敏</x:v>
      </x:c>
    </x:row>
    <x:row r="59">
      <x:c r="A59" s="42" t="n">
        <x:v>55</x:v>
      </x:c>
      <x:c r="B59" s="42" t="str">
        <x:v>人员信息导出</x:v>
      </x:c>
      <x:c r="C59" s="42" t="str">
        <x:v>人员列表</x:v>
      </x:c>
      <x:c r="D59" s="42" t="str">
        <x:v>QQ</x:v>
      </x:c>
      <x:c r="E59" s="42" t="str"/>
      <x:c r="F59" s="42" t="str">
        <x:v>QQ</x:v>
      </x:c>
      <x:c r="G59" s="42" t="str">
        <x:v>员工QQ联系方式</x:v>
      </x:c>
      <x:c r="H59" s="42" t="str">
        <x:v>联系方式</x:v>
      </x:c>
      <x:c r="I59" s="42" t="str">
        <x:v>一般经营分析不建议导出。</x:v>
      </x:c>
      <x:c r="J59" s="42" t="str"/>
      <x:c r="K59" s="42" t="str">
        <x:v>高敏</x:v>
      </x:c>
    </x:row>
    <x:row r="60">
      <x:c r="A60" s="42" t="n">
        <x:v>56</x:v>
      </x:c>
      <x:c r="B60" s="42" t="str">
        <x:v>人员信息导出</x:v>
      </x:c>
      <x:c r="C60" s="42" t="str">
        <x:v>人员列表</x:v>
      </x:c>
      <x:c r="D60" s="42" t="str">
        <x:v>微信</x:v>
      </x:c>
      <x:c r="E60" s="42" t="str"/>
      <x:c r="F60" s="42" t="str">
        <x:v>微信</x:v>
      </x:c>
      <x:c r="G60" s="42" t="str">
        <x:v>员工微信联系方式</x:v>
      </x:c>
      <x:c r="H60" s="42" t="str">
        <x:v>联系方式</x:v>
      </x:c>
      <x:c r="I60" s="42" t="str">
        <x:v>一般经营分析不建议导出。</x:v>
      </x:c>
      <x:c r="J60" s="42" t="str"/>
      <x:c r="K60" s="42" t="str">
        <x:v>高敏</x:v>
      </x:c>
    </x:row>
    <x:row r="61">
      <x:c r="A61" s="42" t="n">
        <x:v>57</x:v>
      </x:c>
      <x:c r="B61" s="42" t="str">
        <x:v>人员信息导出</x:v>
      </x:c>
      <x:c r="C61" s="42" t="str">
        <x:v>人员列表</x:v>
      </x:c>
      <x:c r="D61" s="42" t="str">
        <x:v>电子邮箱</x:v>
      </x:c>
      <x:c r="E61" s="42" t="str"/>
      <x:c r="F61" s="42" t="str">
        <x:v>电子邮箱</x:v>
      </x:c>
      <x:c r="G61" s="42" t="str">
        <x:v>员工电子邮箱</x:v>
      </x:c>
      <x:c r="H61" s="42" t="str">
        <x:v>联系方式</x:v>
      </x:c>
      <x:c r="I61" s="42" t="str">
        <x:v>按需导出并脱敏。</x:v>
      </x:c>
      <x:c r="J61" s="42" t="str"/>
      <x:c r="K61" s="42" t="str">
        <x:v>高敏</x:v>
      </x:c>
    </x:row>
    <x:row r="62">
      <x:c r="A62" s="42" t="n">
        <x:v>58</x:v>
      </x:c>
      <x:c r="B62" s="42" t="str">
        <x:v>人员信息导出</x:v>
      </x:c>
      <x:c r="C62" s="42" t="str">
        <x:v>人员列表</x:v>
      </x:c>
      <x:c r="D62" s="42" t="str">
        <x:v>备用电话</x:v>
      </x:c>
      <x:c r="E62" s="42" t="str"/>
      <x:c r="F62" s="42" t="str">
        <x:v>备用电话</x:v>
      </x:c>
      <x:c r="G62" s="42" t="str">
        <x:v>员工备用联系电话</x:v>
      </x:c>
      <x:c r="H62" s="42" t="str">
        <x:v>联系方式</x:v>
      </x:c>
      <x:c r="I62" s="42" t="str">
        <x:v>非必要不得导出。</x:v>
      </x:c>
      <x:c r="J62" s="42" t="str"/>
      <x:c r="K62" s="42" t="str">
        <x:v>高敏</x:v>
      </x:c>
    </x:row>
    <x:row r="63">
      <x:c r="A63" s="42" t="n">
        <x:v>59</x:v>
      </x:c>
      <x:c r="B63" s="42" t="str">
        <x:v>人员信息导出</x:v>
      </x:c>
      <x:c r="C63" s="42" t="str">
        <x:v>人员列表</x:v>
      </x:c>
      <x:c r="D63" s="42" t="str">
        <x:v>现居地址</x:v>
      </x:c>
      <x:c r="E63" s="42" t="str"/>
      <x:c r="F63" s="42" t="str">
        <x:v>现居地址</x:v>
      </x:c>
      <x:c r="G63" s="42" t="str">
        <x:v>员工当前居住地址</x:v>
      </x:c>
      <x:c r="H63" s="42" t="str">
        <x:v>地址敏感信息</x:v>
      </x:c>
      <x:c r="I63" s="42" t="str">
        <x:v>非必要不得导出。</x:v>
      </x:c>
      <x:c r="J63" s="42" t="str"/>
      <x:c r="K63" s="42" t="str">
        <x:v>高敏</x:v>
      </x:c>
    </x:row>
    <x:row r="64">
      <x:c r="A64" s="42" t="n">
        <x:v>60</x:v>
      </x:c>
      <x:c r="B64" s="42" t="str">
        <x:v>人员信息导出</x:v>
      </x:c>
      <x:c r="C64" s="42" t="str">
        <x:v>人员列表</x:v>
      </x:c>
      <x:c r="D64" s="42" t="str">
        <x:v>户口地址</x:v>
      </x:c>
      <x:c r="E64" s="42" t="str"/>
      <x:c r="F64" s="42" t="str">
        <x:v>户口地址</x:v>
      </x:c>
      <x:c r="G64" s="42" t="str">
        <x:v>员工户籍地址</x:v>
      </x:c>
      <x:c r="H64" s="42" t="str">
        <x:v>地址敏感信息</x:v>
      </x:c>
      <x:c r="I64" s="42" t="str">
        <x:v>非必要不得导出。</x:v>
      </x:c>
      <x:c r="J64" s="42" t="str"/>
      <x:c r="K64" s="42" t="str">
        <x:v>高敏</x:v>
      </x:c>
    </x:row>
    <x:row r="65">
      <x:c r="A65" s="42" t="n">
        <x:v>61</x:v>
      </x:c>
      <x:c r="B65" s="42" t="str">
        <x:v>人员信息导出</x:v>
      </x:c>
      <x:c r="C65" s="42" t="str">
        <x:v>人员列表</x:v>
      </x:c>
      <x:c r="D65" s="42" t="str">
        <x:v>紧急联系人</x:v>
      </x:c>
      <x:c r="E65" s="42" t="str"/>
      <x:c r="F65" s="42" t="str">
        <x:v>紧急联系人</x:v>
      </x:c>
      <x:c r="G65" s="42" t="str">
        <x:v>员工紧急联系人姓名</x:v>
      </x:c>
      <x:c r="H65" s="42" t="str">
        <x:v>第三方敏感信息</x:v>
      </x:c>
      <x:c r="I65" s="42" t="str">
        <x:v>非必要不得导出。</x:v>
      </x:c>
      <x:c r="J65" s="42" t="str"/>
      <x:c r="K65" s="42" t="str">
        <x:v>高敏</x:v>
      </x:c>
    </x:row>
    <x:row r="66">
      <x:c r="A66" s="42" t="n">
        <x:v>62</x:v>
      </x:c>
      <x:c r="B66" s="42" t="str">
        <x:v>人员信息导出</x:v>
      </x:c>
      <x:c r="C66" s="42" t="str">
        <x:v>人员列表</x:v>
      </x:c>
      <x:c r="D66" s="42" t="str">
        <x:v>紧急联系电话</x:v>
      </x:c>
      <x:c r="E66" s="42" t="str"/>
      <x:c r="F66" s="42" t="str">
        <x:v>紧急联系电话</x:v>
      </x:c>
      <x:c r="G66" s="42" t="str">
        <x:v>员工紧急联系人电话</x:v>
      </x:c>
      <x:c r="H66" s="42" t="str">
        <x:v>第三方敏感信息</x:v>
      </x:c>
      <x:c r="I66" s="42" t="str">
        <x:v>非必要不得导出。</x:v>
      </x:c>
      <x:c r="J66" s="42" t="str"/>
      <x:c r="K66" s="42" t="str">
        <x:v>高敏</x:v>
      </x:c>
    </x:row>
    <x:row r="67">
      <x:c r="A67" s="42" t="n">
        <x:v>63</x:v>
      </x:c>
      <x:c r="B67" s="42" t="str">
        <x:v>人员信息导出</x:v>
      </x:c>
      <x:c r="C67" s="42" t="str">
        <x:v>人员列表</x:v>
      </x:c>
      <x:c r="D67" s="42" t="str">
        <x:v>技能证书</x:v>
      </x:c>
      <x:c r="E67" s="42" t="str"/>
      <x:c r="F67" s="42" t="str">
        <x:v>技能证书</x:v>
      </x:c>
      <x:c r="G67" s="42" t="str">
        <x:v>员工持有的专业技能证书</x:v>
      </x:c>
      <x:c r="H67" s="42" t="str">
        <x:v>人事信息</x:v>
      </x:c>
      <x:c r="I67" s="42" t="str">
        <x:v>人才盘点需要导出。</x:v>
      </x:c>
      <x:c r="J67" s="42" t="str"/>
      <x:c r="K67" s="42" t="str">
        <x:v>中敏</x:v>
      </x:c>
    </x:row>
    <x:row r="68">
      <x:c r="A68" s="42" t="n">
        <x:v>64</x:v>
      </x:c>
      <x:c r="B68" s="42" t="str">
        <x:v>人员信息导出</x:v>
      </x:c>
      <x:c r="C68" s="42" t="str">
        <x:v>人员列表</x:v>
      </x:c>
      <x:c r="D68" s="42" t="str">
        <x:v>荣誉奖项</x:v>
      </x:c>
      <x:c r="E68" s="42" t="str"/>
      <x:c r="F68" s="42" t="str">
        <x:v>荣誉奖项</x:v>
      </x:c>
      <x:c r="G68" s="42" t="str">
        <x:v>员工获得的荣誉</x:v>
      </x:c>
      <x:c r="H68" s="42" t="str">
        <x:v>人事信息</x:v>
      </x:c>
      <x:c r="I68" s="42" t="str">
        <x:v>人才盘点需要导出。</x:v>
      </x:c>
      <x:c r="J68" s="42" t="str"/>
      <x:c r="K68" s="42" t="str">
        <x:v>中敏</x:v>
      </x:c>
    </x:row>
    <x:row r="69">
      <x:c r="A69" s="42" t="n">
        <x:v>65</x:v>
      </x:c>
      <x:c r="B69" s="42" t="str">
        <x:v>人员信息导出</x:v>
      </x:c>
      <x:c r="C69" s="42" t="str">
        <x:v>人员列表</x:v>
      </x:c>
      <x:c r="D69" s="42" t="str">
        <x:v>兴趣爱好</x:v>
      </x:c>
      <x:c r="E69" s="42" t="str"/>
      <x:c r="F69" s="42" t="str">
        <x:v>兴趣爱好</x:v>
      </x:c>
      <x:c r="G69" s="42" t="str">
        <x:v>员工兴趣爱好</x:v>
      </x:c>
      <x:c r="H69" s="42" t="str">
        <x:v>个人信息</x:v>
      </x:c>
      <x:c r="I69" s="42" t="str">
        <x:v>一般经营分析不建议导出。</x:v>
      </x:c>
      <x:c r="J69" s="42" t="str"/>
      <x:c r="K69" s="42" t="str">
        <x:v>高敏</x:v>
      </x:c>
    </x:row>
    <x:row r="70">
      <x:c r="A70" s="43" t="n">
        <x:v>66</x:v>
      </x:c>
      <x:c r="B70" s="43" t="str">
        <x:v>人员信息导出</x:v>
      </x:c>
      <x:c r="C70" s="43" t="str">
        <x:v>人员列表</x:v>
      </x:c>
      <x:c r="D70" s="43" t="str">
        <x:v>备注</x:v>
      </x:c>
      <x:c r="E70" s="43" t="str"/>
      <x:c r="F70" s="43" t="str">
        <x:v>人员备注</x:v>
      </x:c>
      <x:c r="G70" s="43" t="str">
        <x:v>人员档案补充说明</x:v>
      </x:c>
      <x:c r="H70" s="43" t="str">
        <x:v>文本备注</x:v>
      </x:c>
      <x:c r="I70" s="43" t="str">
        <x:v>仅在明确业务必要时导出。</x:v>
      </x:c>
      <x:c r="J70" s="43" t="str">
        <x:v>可能包含任意敏感信息。</x:v>
      </x:c>
      <x:c r="K70" s="43" t="str">
        <x:v>高敏</x:v>
      </x:c>
    </x:row>
    <x:row r="71">
      <x:c r="A71" s="76"/>
    </x:row>
    <x:row r="72">
      <x:c r="A72" s="76"/>
    </x:row>
    <x:row r="73">
      <x:c r="A73" s="76"/>
    </x:row>
    <x:row r="74">
      <x:c r="A74" s="76"/>
    </x:row>
    <x:row r="75">
      <x:c r="A75" s="76"/>
    </x:row>
    <x:row r="76">
      <x:c r="A76" s="76"/>
    </x:row>
    <x:row r="77">
      <x:c r="A77" s="76"/>
    </x:row>
    <x:row r="78">
      <x:c r="A78" s="76"/>
    </x:row>
    <x:row r="79">
      <x:c r="A79" s="76"/>
    </x:row>
    <x:row r="80">
      <x:c r="A80" s="76"/>
    </x:row>
    <x:row r="81">
      <x:c r="A81" s="76"/>
    </x:row>
    <x:row r="82">
      <x:c r="A82" s="76"/>
    </x:row>
    <x:row r="83">
      <x:c r="A83" s="76"/>
    </x:row>
    <x:row r="84">
      <x:c r="A84" s="76"/>
    </x:row>
    <x:row r="85">
      <x:c r="A85" s="76"/>
    </x:row>
    <x:row r="86">
      <x:c r="A86" s="76"/>
    </x:row>
    <x:row r="87">
      <x:c r="A87" s="76"/>
    </x:row>
    <x:row r="88">
      <x:c r="A88" s="76"/>
    </x:row>
    <x:row r="89">
      <x:c r="A89" s="76"/>
    </x:row>
    <x:row r="90">
      <x:c r="A90" s="76"/>
    </x:row>
    <x:row r="91">
      <x:c r="A91" s="76"/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K1"/>
    <x:mergeCell ref="A2:K2"/>
  </x:mergeCells>
  <x:conditionalFormatting sqref="K5:K70">
    <x:cfRule type="expression" dxfId="6" priority="1">
      <x:formula>K5="高敏"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d5fee6a03340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8" hidden="0" customWidth="1"/>
    <x:col min="5" max="5" width="20" hidden="0" customWidth="1"/>
    <x:col min="6" max="6" width="13" hidden="0" customWidth="1"/>
    <x:col min="7" max="7" width="30" hidden="0" customWidth="1"/>
    <x:col min="8" max="8" width="30" hidden="0" customWidth="1"/>
    <x:col min="9" max="9" width="44" hidden="0" customWidth="1"/>
    <x:col min="10" max="10" width="42" hidden="0" customWidth="1"/>
    <x:col min="11" max="11" width="14" hidden="0" customWidth="1"/>
  </x:cols>
  <x:sheetData>
    <x:row r="1" ht="28" customHeight="1">
      <x:c r="A1" s="74" t="str">
        <x:v>部分支持或可组合计算字段（11项）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6" customHeight="1">
      <x:c r="A2" s="75" t="str">
        <x:v>这些字段不能简单视为“已支持”。组织层级、状态枚举、计算口径不明确时，应按需让客户导出对应表格核对。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76"/>
    </x:row>
    <x:row r="4" ht="32" customHeight="1">
      <x:c r="A4" s="77" t="str">
        <x:v>序号</x:v>
      </x:c>
      <x:c r="B4" s="69" t="str">
        <x:v>导出表</x:v>
      </x:c>
      <x:c r="C4" s="69" t="str">
        <x:v>工作表/模块</x:v>
      </x:c>
      <x:c r="D4" s="69" t="str">
        <x:v>原始字段名</x:v>
      </x:c>
      <x:c r="E4" s="69" t="str">
        <x:v>标准字段名</x:v>
      </x:c>
      <x:c r="F4" s="69" t="str">
        <x:v>MCP支持程度</x:v>
      </x:c>
      <x:c r="G4" s="69" t="str">
        <x:v>MCP工具/类型</x:v>
      </x:c>
      <x:c r="H4" s="69" t="str">
        <x:v>MCP对应字段/指标</x:v>
      </x:c>
      <x:c r="I4" s="69" t="str">
        <x:v>推荐处理方式</x:v>
      </x:c>
      <x:c r="J4" s="69" t="str">
        <x:v>关联键/补充说明</x:v>
      </x:c>
      <x:c r="K4" s="27" t="str">
        <x:v>是否需客户导出</x:v>
      </x:c>
    </x:row>
    <x:row r="5">
      <x:c r="A5" s="42" t="n">
        <x:v>1</x:v>
      </x:c>
      <x:c r="B5" s="42" t="str">
        <x:v>合同信息导出</x:v>
      </x:c>
      <x:c r="C5" s="42" t="str">
        <x:v>合同信息</x:v>
      </x:c>
      <x:c r="D5" s="42" t="str">
        <x:v>签约门店</x:v>
      </x:c>
      <x:c r="E5" s="42" t="str">
        <x:v>签约部门/门店</x:v>
      </x:c>
      <x:c r="F5" s="42" t="str">
        <x:v>部分支持</x:v>
      </x:c>
      <x:c r="G5" s="42" t="str">
        <x:v>queryContractFinanceData / 合同明细</x:v>
      </x:c>
      <x:c r="H5" s="42" t="str">
        <x:v>deptName</x:v>
      </x:c>
      <x:c r="I5" s="42" t="str">
        <x:v>MCP可返回部门名；需要明确门店层级时建议导出。</x:v>
      </x:c>
      <x:c r="J5" s="42" t="str">
        <x:v>deptName未公开组织层级，可能是门店、分组或其他部门。</x:v>
      </x:c>
      <x:c r="K5" s="42" t="str">
        <x:v>按需</x:v>
      </x:c>
    </x:row>
    <x:row r="6">
      <x:c r="A6" s="42" t="n">
        <x:v>2</x:v>
      </x:c>
      <x:c r="B6" s="42" t="str">
        <x:v>实收明细导出</x:v>
      </x:c>
      <x:c r="C6" s="42" t="str">
        <x:v>实收明细</x:v>
      </x:c>
      <x:c r="D6" s="42" t="str">
        <x:v>状态</x:v>
      </x:c>
      <x:c r="E6" s="42" t="str">
        <x:v>实收审核状态</x:v>
      </x:c>
      <x:c r="F6" s="42" t="str">
        <x:v>部分支持</x:v>
      </x:c>
      <x:c r="G6" s="42" t="str">
        <x:v>queryContractFinanceData / 实收明细</x:v>
      </x:c>
      <x:c r="H6" s="42" t="str">
        <x:v>status</x:v>
      </x:c>
      <x:c r="I6" s="42" t="str">
        <x:v>字段可返回，但状态值含义未公开；需要可读状态时建议导出。</x:v>
      </x:c>
      <x:c r="J6" s="42" t="str">
        <x:v>MCP样例出现0/1，不应擅自解释。</x:v>
      </x:c>
      <x:c r="K6" s="42" t="str">
        <x:v>按需</x:v>
      </x:c>
    </x:row>
    <x:row r="7">
      <x:c r="A7" s="42" t="n">
        <x:v>3</x:v>
      </x:c>
      <x:c r="B7" s="42" t="str">
        <x:v>实收明细导出</x:v>
      </x:c>
      <x:c r="C7" s="42" t="str">
        <x:v>实收明细</x:v>
      </x:c>
      <x:c r="D7" s="42" t="str">
        <x:v>签约门店</x:v>
      </x:c>
      <x:c r="E7" s="42" t="str">
        <x:v>签约部门/门店</x:v>
      </x:c>
      <x:c r="F7" s="42" t="str">
        <x:v>部分支持</x:v>
      </x:c>
      <x:c r="G7" s="42" t="str">
        <x:v>queryContractFinanceData / 实收明细</x:v>
      </x:c>
      <x:c r="H7" s="42" t="str">
        <x:v>deptName</x:v>
      </x:c>
      <x:c r="I7" s="42" t="str">
        <x:v>MCP可返回部门名；需明确门店层级时建议导出。</x:v>
      </x:c>
      <x:c r="J7" s="42" t="str">
        <x:v>组织层级未公开。</x:v>
      </x:c>
      <x:c r="K7" s="42" t="str">
        <x:v>按需</x:v>
      </x:c>
    </x:row>
    <x:row r="8">
      <x:c r="A8" s="42" t="n">
        <x:v>4</x:v>
      </x:c>
      <x:c r="B8" s="42" t="str">
        <x:v>业绩明细导出</x:v>
      </x:c>
      <x:c r="C8" s="42" t="str">
        <x:v>应收应付</x:v>
      </x:c>
      <x:c r="D8" s="42" t="str">
        <x:v>签约门店</x:v>
      </x:c>
      <x:c r="E8" s="42" t="str">
        <x:v>签约部门/门店</x:v>
      </x:c>
      <x:c r="F8" s="42" t="str">
        <x:v>部分支持</x:v>
      </x:c>
      <x:c r="G8" s="42" t="str">
        <x:v>queryContractFinanceData / 应收应付</x:v>
      </x:c>
      <x:c r="H8" s="42" t="str">
        <x:v>deptName</x:v>
      </x:c>
      <x:c r="I8" s="42" t="str">
        <x:v>MCP可返回部门名；需明确门店层级时建议导出。</x:v>
      </x:c>
      <x:c r="J8" s="42" t="str">
        <x:v>组织层级未公开。</x:v>
      </x:c>
      <x:c r="K8" s="42" t="str">
        <x:v>按需</x:v>
      </x:c>
    </x:row>
    <x:row r="9">
      <x:c r="A9" s="42" t="n">
        <x:v>5</x:v>
      </x:c>
      <x:c r="B9" s="42" t="str">
        <x:v>业绩明细导出</x:v>
      </x:c>
      <x:c r="C9" s="42" t="str">
        <x:v>业绩分配</x:v>
      </x:c>
      <x:c r="D9" s="42" t="str">
        <x:v>签约门店</x:v>
      </x:c>
      <x:c r="E9" s="42" t="str">
        <x:v>签约部门/门店</x:v>
      </x:c>
      <x:c r="F9" s="42" t="str">
        <x:v>部分支持</x:v>
      </x:c>
      <x:c r="G9" s="42" t="str">
        <x:v>queryContractFinanceData / 业绩分配</x:v>
      </x:c>
      <x:c r="H9" s="42" t="str">
        <x:v>deptName</x:v>
      </x:c>
      <x:c r="I9" s="42" t="str">
        <x:v>MCP可返回部门名；需明确门店层级时建议导出。</x:v>
      </x:c>
      <x:c r="J9" s="42" t="str">
        <x:v>组织层级未公开。</x:v>
      </x:c>
      <x:c r="K9" s="42" t="str">
        <x:v>按需</x:v>
      </x:c>
    </x:row>
    <x:row r="10">
      <x:c r="A10" s="42" t="n">
        <x:v>6</x:v>
      </x:c>
      <x:c r="B10" s="42" t="str">
        <x:v>业绩明细导出</x:v>
      </x:c>
      <x:c r="C10" s="42" t="str">
        <x:v>业绩分配</x:v>
      </x:c>
      <x:c r="D10" s="42" t="str">
        <x:v>业绩门店</x:v>
      </x:c>
      <x:c r="E10" s="42" t="str">
        <x:v>业绩部门/门店</x:v>
      </x:c>
      <x:c r="F10" s="42" t="str">
        <x:v>部分支持</x:v>
      </x:c>
      <x:c r="G10" s="42" t="str">
        <x:v>queryContractFinanceData / 业绩分配</x:v>
      </x:c>
      <x:c r="H10" s="42" t="str">
        <x:v>assignDeptName</x:v>
      </x:c>
      <x:c r="I10" s="42" t="str">
        <x:v>MCP返回分配部门，但无法保证是门店层级；需精确层级时导出。</x:v>
      </x:c>
      <x:c r="J10" s="42" t="str"/>
      <x:c r="K10" s="42" t="str">
        <x:v>按需</x:v>
      </x:c>
    </x:row>
    <x:row r="11">
      <x:c r="A11" s="42" t="n">
        <x:v>7</x:v>
      </x:c>
      <x:c r="B11" s="42" t="str">
        <x:v>业绩明细导出</x:v>
      </x:c>
      <x:c r="C11" s="42" t="str">
        <x:v>业绩分配</x:v>
      </x:c>
      <x:c r="D11" s="42" t="str">
        <x:v>总实收佣金</x:v>
      </x:c>
      <x:c r="E11" s="42" t="str">
        <x:v>合同总实收佣金</x:v>
      </x:c>
      <x:c r="F11" s="42" t="str">
        <x:v>组合计算</x:v>
      </x:c>
      <x:c r="G11" s="42" t="str">
        <x:v>queryContractFinanceData / 实收明细</x:v>
      </x:c>
      <x:c r="H11" s="42" t="str">
        <x:v>按合同键汇总 amount（科目=佣金）</x:v>
      </x:c>
      <x:c r="I11" s="42" t="str">
        <x:v>优先用实收明细按合同类型+合同编号汇总；需要与导出字段完全核对时可导出。</x:v>
      </x:c>
      <x:c r="J11" s="42" t="str">
        <x:v>需确认退款、审核状态和科目范围。</x:v>
      </x:c>
      <x:c r="K11" s="42" t="str">
        <x:v>可选</x:v>
      </x:c>
    </x:row>
    <x:row r="12">
      <x:c r="A12" s="42" t="n">
        <x:v>8</x:v>
      </x:c>
      <x:c r="B12" s="42" t="str">
        <x:v>人员信息导出</x:v>
      </x:c>
      <x:c r="C12" s="42" t="str">
        <x:v>汇总</x:v>
      </x:c>
      <x:c r="D12" s="42" t="str">
        <x:v>门店</x:v>
      </x:c>
      <x:c r="E12" s="42" t="str">
        <x:v>门店</x:v>
      </x:c>
      <x:c r="F12" s="42" t="str">
        <x:v>部分支持</x:v>
      </x:c>
      <x:c r="G12" s="42" t="str">
        <x:v>queryRptData / 合同财务明细</x:v>
      </x:c>
      <x:c r="H12" s="42" t="str">
        <x:v>deptName / assignDeptName</x:v>
      </x:c>
      <x:c r="I12" s="42" t="str">
        <x:v>MCP只会在部分业务数据中返回部门名称，不能替代完整门店清单。</x:v>
      </x:c>
      <x:c r="J12" s="42" t="str">
        <x:v>无法证明层级、无法包含无业务数据或停用门店。</x:v>
      </x:c>
      <x:c r="K12" s="42" t="str">
        <x:v>按需</x:v>
      </x:c>
    </x:row>
    <x:row r="13">
      <x:c r="A13" s="42" t="n">
        <x:v>9</x:v>
      </x:c>
      <x:c r="B13" s="42" t="str">
        <x:v>人员信息导出</x:v>
      </x:c>
      <x:c r="C13" s="42" t="str">
        <x:v>人员列表</x:v>
      </x:c>
      <x:c r="D13" s="42" t="str">
        <x:v>门店</x:v>
      </x:c>
      <x:c r="E13" s="42" t="str">
        <x:v>门店</x:v>
      </x:c>
      <x:c r="F13" s="42" t="str">
        <x:v>部分支持</x:v>
      </x:c>
      <x:c r="G13" s="42" t="str">
        <x:v>queryRptData / 合同财务明细</x:v>
      </x:c>
      <x:c r="H13" s="42" t="str">
        <x:v>deptName / assignDeptName</x:v>
      </x:c>
      <x:c r="I13" s="42" t="str">
        <x:v>MCP仅能在部分业务记录中零散返回部门名，不能得到全量人员归属。</x:v>
      </x:c>
      <x:c r="J13" s="42" t="str"/>
      <x:c r="K13" s="42" t="str">
        <x:v>按需</x:v>
      </x:c>
    </x:row>
    <x:row r="14">
      <x:c r="A14" s="42" t="n">
        <x:v>10</x:v>
      </x:c>
      <x:c r="B14" s="42" t="str">
        <x:v>人员信息导出</x:v>
      </x:c>
      <x:c r="C14" s="42" t="str">
        <x:v>人员列表</x:v>
      </x:c>
      <x:c r="D14" s="42" t="str">
        <x:v>分组</x:v>
      </x:c>
      <x:c r="E14" s="42" t="str">
        <x:v>分组</x:v>
      </x:c>
      <x:c r="F14" s="42" t="str">
        <x:v>部分支持</x:v>
      </x:c>
      <x:c r="G14" s="42" t="str">
        <x:v>queryRptData / 合同财务明细</x:v>
      </x:c>
      <x:c r="H14" s="42" t="str">
        <x:v>deptName / assignDeptName</x:v>
      </x:c>
      <x:c r="I14" s="42" t="str">
        <x:v>部分返回值可能是小组名称，但层级不明确；需要全量归属必须导出。</x:v>
      </x:c>
      <x:c r="J14" s="42" t="str"/>
      <x:c r="K14" s="42" t="str">
        <x:v>按需</x:v>
      </x:c>
    </x:row>
    <x:row r="15">
      <x:c r="A15" s="43" t="n">
        <x:v>11</x:v>
      </x:c>
      <x:c r="B15" s="43" t="str">
        <x:v>人员信息导出</x:v>
      </x:c>
      <x:c r="C15" s="43" t="str">
        <x:v>人员列表</x:v>
      </x:c>
      <x:c r="D15" s="43" t="str">
        <x:v>姓名</x:v>
      </x:c>
      <x:c r="E15" s="43" t="str">
        <x:v>员工姓名</x:v>
      </x:c>
      <x:c r="F15" s="43" t="str">
        <x:v>部分支持</x:v>
      </x:c>
      <x:c r="G15" s="43" t="str">
        <x:v>queryRptData / 合同财务明细</x:v>
      </x:c>
      <x:c r="H15" s="43" t="str">
        <x:v>userName / signUserName / houseUserName / custUserName</x:v>
      </x:c>
      <x:c r="I15" s="43" t="str">
        <x:v>MCP可返回业务相关人员姓名，但不能形成全量员工名册。</x:v>
      </x:c>
      <x:c r="J15" s="43" t="str">
        <x:v>无业务记录人员、离职人员可能缺失。</x:v>
      </x:c>
      <x:c r="K15" s="43" t="str">
        <x:v>按需</x:v>
      </x:c>
    </x:row>
    <x:row r="16">
      <x:c r="A16" s="76"/>
    </x:row>
    <x:row r="17">
      <x:c r="A17" s="76"/>
    </x:row>
    <x:row r="18">
      <x:c r="A18" s="76"/>
    </x:row>
    <x:row r="19">
      <x:c r="A19" s="76"/>
    </x:row>
    <x:row r="20">
      <x:c r="A20" s="76"/>
    </x:row>
    <x:row r="21">
      <x:c r="A21" s="76"/>
    </x:row>
    <x:row r="22">
      <x:c r="A22" s="76"/>
    </x:row>
    <x:row r="23">
      <x:c r="A23" s="76"/>
    </x:row>
    <x:row r="24">
      <x:c r="A24" s="76"/>
    </x:row>
    <x:row r="25">
      <x:c r="A25" s="76"/>
    </x:row>
    <x:row r="26">
      <x:c r="A26" s="76"/>
    </x:row>
    <x:row r="27">
      <x:c r="A27" s="76"/>
    </x:row>
    <x:row r="28">
      <x:c r="A28" s="76"/>
    </x:row>
    <x:row r="29">
      <x:c r="A29" s="76"/>
    </x:row>
    <x:row r="30">
      <x:c r="A30" s="76"/>
    </x:row>
    <x:row r="31">
      <x:c r="A31" s="76"/>
    </x:row>
    <x:row r="32">
      <x:c r="A32" s="76"/>
    </x:row>
    <x:row r="33">
      <x:c r="A33" s="76"/>
    </x:row>
    <x:row r="34">
      <x:c r="A34" s="76"/>
    </x:row>
    <x:row r="35">
      <x:c r="A35" s="76"/>
    </x:row>
    <x:row r="36">
      <x:c r="A36" s="76"/>
    </x:row>
    <x:row r="37">
      <x:c r="A37" s="76"/>
    </x:row>
    <x:row r="38">
      <x:c r="A38" s="76"/>
    </x:row>
    <x:row r="39">
      <x:c r="A39" s="76"/>
    </x:row>
    <x:row r="40">
      <x:c r="A40" s="76"/>
    </x:row>
    <x:row r="41">
      <x:c r="A41" s="76"/>
    </x:row>
    <x:row r="42">
      <x:c r="A42" s="76"/>
    </x:row>
    <x:row r="43">
      <x:c r="A43" s="76"/>
    </x:row>
    <x:row r="44">
      <x:c r="A44" s="76"/>
    </x:row>
    <x:row r="45">
      <x:c r="A45" s="76"/>
    </x:row>
    <x:row r="46">
      <x:c r="A46" s="76"/>
    </x:row>
    <x:row r="47">
      <x:c r="A47" s="76"/>
    </x:row>
    <x:row r="48">
      <x:c r="A48" s="76"/>
    </x:row>
    <x:row r="49">
      <x:c r="A49" s="76"/>
    </x:row>
    <x:row r="50">
      <x:c r="A50" s="76"/>
    </x:row>
    <x:row r="51">
      <x:c r="A51" s="76"/>
    </x:row>
    <x:row r="52">
      <x:c r="A52" s="76"/>
    </x:row>
    <x:row r="53">
      <x:c r="A53" s="76"/>
    </x:row>
    <x:row r="54">
      <x:c r="A54" s="76"/>
    </x:row>
    <x:row r="55">
      <x:c r="A55" s="76"/>
    </x:row>
    <x:row r="56">
      <x:c r="A56" s="76"/>
    </x:row>
    <x:row r="57">
      <x:c r="A57" s="76"/>
    </x:row>
    <x:row r="58">
      <x:c r="A58" s="76"/>
    </x:row>
    <x:row r="59">
      <x:c r="A59" s="76"/>
    </x:row>
    <x:row r="60">
      <x:c r="A60" s="76"/>
    </x:row>
    <x:row r="61">
      <x:c r="A61" s="76"/>
    </x:row>
    <x:row r="62">
      <x:c r="A62" s="76"/>
    </x:row>
    <x:row r="63">
      <x:c r="A63" s="76"/>
    </x:row>
    <x:row r="64">
      <x:c r="A64" s="76"/>
    </x:row>
    <x:row r="65">
      <x:c r="A65" s="76"/>
    </x:row>
    <x:row r="66">
      <x:c r="A66" s="76"/>
    </x:row>
    <x:row r="67">
      <x:c r="A67" s="76"/>
    </x:row>
    <x:row r="68">
      <x:c r="A68" s="76"/>
    </x:row>
    <x:row r="69">
      <x:c r="A69" s="76"/>
    </x:row>
    <x:row r="70">
      <x:c r="A70" s="76"/>
    </x:row>
    <x:row r="71">
      <x:c r="A71" s="76"/>
    </x:row>
    <x:row r="72">
      <x:c r="A72" s="76"/>
    </x:row>
    <x:row r="73">
      <x:c r="A73" s="76"/>
    </x:row>
    <x:row r="74">
      <x:c r="A74" s="76"/>
    </x:row>
    <x:row r="75">
      <x:c r="A75" s="76"/>
    </x:row>
    <x:row r="76">
      <x:c r="A76" s="76"/>
    </x:row>
    <x:row r="77">
      <x:c r="A77" s="76"/>
    </x:row>
    <x:row r="78">
      <x:c r="A78" s="76"/>
    </x:row>
    <x:row r="79">
      <x:c r="A79" s="76"/>
    </x:row>
    <x:row r="80">
      <x:c r="A80" s="76"/>
    </x:row>
    <x:row r="81">
      <x:c r="A81" s="76"/>
    </x:row>
    <x:row r="82">
      <x:c r="A82" s="76"/>
    </x:row>
    <x:row r="83">
      <x:c r="A83" s="76"/>
    </x:row>
    <x:row r="84">
      <x:c r="A84" s="76"/>
    </x:row>
    <x:row r="85">
      <x:c r="A85" s="76"/>
    </x:row>
    <x:row r="86">
      <x:c r="A86" s="76"/>
    </x:row>
    <x:row r="87">
      <x:c r="A87" s="76"/>
    </x:row>
    <x:row r="88">
      <x:c r="A88" s="76"/>
    </x:row>
    <x:row r="89">
      <x:c r="A89" s="76"/>
    </x:row>
    <x:row r="90">
      <x:c r="A90" s="76"/>
    </x:row>
    <x:row r="91">
      <x:c r="A91" s="76"/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e767c3a33a342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8" hidden="0" customWidth="1"/>
    <x:col min="4" max="4" width="50" hidden="0" customWidth="1"/>
    <x:col min="5" max="5" width="27" hidden="0" customWidth="1"/>
    <x:col min="6" max="6" width="42" hidden="0" customWidth="1"/>
    <x:col min="7" max="7" width="48" hidden="0" customWidth="1"/>
    <x:col min="8" max="8" width="48" hidden="0" customWidth="1"/>
    <x:col min="9" max="9" width="34" hidden="0" customWidth="1"/>
  </x:cols>
  <x:sheetData>
    <x:row r="1" ht="28" customHeight="1">
      <x:c r="A1" s="74" t="str">
        <x:v>客户需求 → MCP + 导出表组合方案</x:v>
      </x:c>
      <x:c r="B1" s="5"/>
      <x:c r="C1" s="5"/>
      <x:c r="D1" s="5"/>
      <x:c r="E1" s="5"/>
      <x:c r="F1" s="5"/>
      <x:c r="G1" s="5"/>
      <x:c r="H1" s="5"/>
      <x:c r="I1" s="5"/>
    </x:row>
    <x:row r="2" ht="36" customHeight="1">
      <x:c r="A2" s="75" t="str">
        <x:v>先使用MCP，再仅补充缺失字段。导出指令必须明确表格名称、日期字段、起止日期和所需列。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76"/>
    </x:row>
    <x:row r="4" ht="32" customHeight="1">
      <x:c r="A4" s="77" t="str">
        <x:v>需求场景</x:v>
      </x:c>
      <x:c r="B4" s="69" t="str">
        <x:v>MCP先查什么</x:v>
      </x:c>
      <x:c r="C4" s="69" t="str">
        <x:v>需导出表</x:v>
      </x:c>
      <x:c r="D4" s="69" t="str">
        <x:v>建议导出字段</x:v>
      </x:c>
      <x:c r="E4" s="69" t="str">
        <x:v>导出时间范围</x:v>
      </x:c>
      <x:c r="F4" s="69" t="str">
        <x:v>合并键</x:v>
      </x:c>
      <x:c r="G4" s="69" t="str">
        <x:v>计算逻辑</x:v>
      </x:c>
      <x:c r="H4" s="69" t="str">
        <x:v>口径风险</x:v>
      </x:c>
      <x:c r="I4" s="27" t="str">
        <x:v>隐私要求</x:v>
      </x:c>
    </x:row>
    <x:row r="5">
      <x:c r="A5" s="42" t="str">
        <x:v>某时间段合同成交单量/金额/应收/实收统计</x:v>
      </x:c>
      <x:c r="B5" s="42" t="str">
        <x:v>queryRptData：合同成交单量·份、合同应收·元、合同实收·元</x:v>
      </x:c>
      <x:c r="C5" s="42" t="str">
        <x:v>通常不需要</x:v>
      </x:c>
      <x:c r="D5" s="42" t="str">
        <x:v>—</x:v>
      </x:c>
      <x:c r="E5" s="42" t="str">
        <x:v>—</x:v>
      </x:c>
      <x:c r="F5" s="42" t="str">
        <x:v>按部门/人员汇总，无明细合并</x:v>
      </x:c>
      <x:c r="G5" s="42" t="str">
        <x:v>统计值优先按MCP口径；跨度超过31天需拆分查询后合并。</x:v>
      </x:c>
      <x:c r="H5" s="42" t="str">
        <x:v>queryRptData日期底层口径未公开；不能直接等同签约日期或结单日期。</x:v>
      </x:c>
      <x:c r="I5" s="42" t="str">
        <x:v>仅汇总数据，风险较低。</x:v>
      </x:c>
    </x:row>
    <x:row r="6">
      <x:c r="A6" s="42" t="str">
        <x:v>统计值对应哪些具体合同</x:v>
      </x:c>
      <x:c r="B6" s="42" t="str">
        <x:v>queryRptData + queryContractFinanceData（合同明细、业绩分配）</x:v>
      </x:c>
      <x:c r="C6" s="42" t="str">
        <x:v>口径不一致时再导出“合同信息导出”</x:v>
      </x:c>
      <x:c r="D6" s="42" t="str">
        <x:v>合同类型、合同编号、签约日期、结单日期、结单状态、业绩分配状态、签约门店/小组</x:v>
      </x:c>
      <x:c r="E6" s="42" t="str">
        <x:v>与统计查询相同，并记录导出筛选字段</x:v>
      </x:c>
      <x:c r="F6" s="42" t="str">
        <x:v>合同类型 + 合同编号</x:v>
      </x:c>
      <x:c r="G6" s="42" t="str">
        <x:v>先核对合同明细条数，再核对业绩分配中的合同数；仍不一致时用导出表定位。</x:v>
      </x:c>
      <x:c r="H6" s="42" t="str">
        <x:v>统计值不一定等于合同明细条数；合同编号必须按文本清洗空格。</x:v>
      </x:c>
      <x:c r="I6" s="42" t="str">
        <x:v>不需要客户、业主证件号。</x:v>
      </x:c>
    </x:row>
    <x:row r="7">
      <x:c r="A7" s="42" t="str">
        <x:v>按运营/大区/片区/门店/分组分析成交、业绩或实收</x:v>
      </x:c>
      <x:c r="B7" s="42" t="str">
        <x:v>合同明细、业绩分配、实收明细</x:v>
      </x:c>
      <x:c r="C7" s="42" t="str">
        <x:v>人员信息导出（人员列表）；必要时合同信息导出</x:v>
      </x:c>
      <x:c r="D7" s="42" t="str">
        <x:v>工号、姓名、运营、大区、片区、门店、分组、职能、入职日期、离职状态/时间</x:v>
      </x:c>
      <x:c r="E7" s="42" t="str">
        <x:v>人员表建议导出分析截止日的最新快照</x:v>
      </x:c>
      <x:c r="F7" s="42" t="str">
        <x:v>优先工号；无工号时使用姓名 + 门店/分组</x:v>
      </x:c>
      <x:c r="G7" s="42" t="str">
        <x:v>将MCP中的人员姓名映射到人员组织层级，再按组织维度汇总。</x:v>
      </x:c>
      <x:c r="H7" s="42" t="str">
        <x:v>同名人员会误匹配；组织调动需明确按当前组织还是历史组织。</x:v>
      </x:c>
      <x:c r="I7" s="42" t="str">
        <x:v>不要导出身份证、银行卡、地址等无关字段。</x:v>
      </x:c>
    </x:row>
    <x:row r="8">
      <x:c r="A8" s="42" t="str">
        <x:v>门店人均开单量、开单率、人均业绩</x:v>
      </x:c>
      <x:c r="B8" s="42" t="str">
        <x:v>queryRptData成交单量/业绩指标，或业绩分配明细</x:v>
      </x:c>
      <x:c r="C8" s="42" t="str">
        <x:v>人员信息导出（汇总或人员列表）</x:v>
      </x:c>
      <x:c r="D8" s="42" t="str">
        <x:v>运营、大区、片区、门店、分组、姓名、工号、入职日期、离职状态、离职时间</x:v>
      </x:c>
      <x:c r="E8" s="42" t="str">
        <x:v>与统计期匹配的人员快照；最好保留期初、期末状态</x:v>
      </x:c>
      <x:c r="F8" s="42" t="str">
        <x:v>组织字段；个人明细用工号/姓名+组织</x:v>
      </x:c>
      <x:c r="G8" s="42" t="str">
        <x:v>分子用MCP统计或业绩；分母按明确口径统计在职人数、平均在职人数或参与业务人数。</x:v>
      </x:c>
      <x:c r="H8" s="42" t="str">
        <x:v>不能用有业务记录人数代替在职人数；开单率需先定义分母。</x:v>
      </x:c>
      <x:c r="I8" s="42" t="str">
        <x:v>仅保留组织和在职状态字段。</x:v>
      </x:c>
    </x:row>
    <x:row r="9">
      <x:c r="A9" s="42" t="str">
        <x:v>房源方与客源方分别按组织层级统计</x:v>
      </x:c>
      <x:c r="B9" s="42" t="str">
        <x:v>合同明细中的houseUserName、custUserName</x:v>
      </x:c>
      <x:c r="C9" s="42" t="str">
        <x:v>合同信息导出，或人员信息导出做人员组织映射</x:v>
      </x:c>
      <x:c r="D9" s="42" t="str">
        <x:v>房源方/客源方经纪人、职能、分组、门店、片区、大区、运营</x:v>
      </x:c>
      <x:c r="E9" s="42" t="str">
        <x:v>合同签约日期范围</x:v>
      </x:c>
      <x:c r="F9" s="42" t="str">
        <x:v>合同类型 + 合同编号；或经纪人 + 组织</x:v>
      </x:c>
      <x:c r="G9" s="42" t="str">
        <x:v>分别构建房源方与客源方维度，再统计合同数、佣金、成交周期等。</x:v>
      </x:c>
      <x:c r="H9" s="42" t="str">
        <x:v>MCP只提供经纪人姓名，不提供双方完整组织层级。</x:v>
      </x:c>
      <x:c r="I9" s="42" t="str">
        <x:v>无需导出客户/业主证件号。</x:v>
      </x:c>
    </x:row>
    <x:row r="10">
      <x:c r="A10" s="42" t="str">
        <x:v>分析房源带看次数、房源成交周期与成交结果</x:v>
      </x:c>
      <x:c r="B10" s="42" t="str">
        <x:v>合同明细中的houseDealPeriod；可辅以queryRptData带看统计</x:v>
      </x:c>
      <x:c r="C10" s="42" t="str">
        <x:v>合同信息导出</x:v>
      </x:c>
      <x:c r="D10" s="42" t="str">
        <x:v>合同类型、合同编号、小区名称、房源侧带看次数、房源成交周期、签约日期、成交金额/租金</x:v>
      </x:c>
      <x:c r="E10" s="42" t="str">
        <x:v>合同签约日期范围</x:v>
      </x:c>
      <x:c r="F10" s="42" t="str">
        <x:v>合同类型 + 合同编号</x:v>
      </x:c>
      <x:c r="G10" s="42" t="str">
        <x:v>按带看次数分段，比较成交周期、成交价及佣金。</x:v>
      </x:c>
      <x:c r="H10" s="42" t="str">
        <x:v>queryRptData带看是汇总口径，不能替代单合同的房源侧带看次数。</x:v>
      </x:c>
      <x:c r="I10" s="42" t="str">
        <x:v>地址保留到小区级即可。</x:v>
      </x:c>
    </x:row>
    <x:row r="11">
      <x:c r="A11" s="42" t="str">
        <x:v>分析交易性质、抵押状态与成交/结单</x:v>
      </x:c>
      <x:c r="B11" s="42" t="str">
        <x:v>合同明细</x:v>
      </x:c>
      <x:c r="C11" s="42" t="str">
        <x:v>合同信息导出</x:v>
      </x:c>
      <x:c r="D11" s="42" t="str">
        <x:v>合同类型、合同编号、交易性质、有无抵押、签约日期、结单状态、结单日期、成交金额/租金</x:v>
      </x:c>
      <x:c r="E11" s="42" t="str">
        <x:v>合同签约日期范围</x:v>
      </x:c>
      <x:c r="F11" s="42" t="str">
        <x:v>合同类型 + 合同编号</x:v>
      </x:c>
      <x:c r="G11" s="42" t="str">
        <x:v>将导出补充属性并入MCP合同明细后分组分析。</x:v>
      </x:c>
      <x:c r="H11" s="42" t="str">
        <x:v>交易性质的枚举含义需由系统业务人员确认。</x:v>
      </x:c>
      <x:c r="I11" s="42" t="str">
        <x:v>不需要产权地址、证件号、产权证号。</x:v>
      </x:c>
    </x:row>
    <x:row r="12">
      <x:c r="A12" s="42" t="str">
        <x:v>实收按签约分组、门店或人员分析</x:v>
      </x:c>
      <x:c r="B12" s="42" t="str">
        <x:v>queryContractFinanceData（实收明细）</x:v>
      </x:c>
      <x:c r="C12" s="42" t="str">
        <x:v>需要精确签约分组时导出“实收明细导出”</x:v>
      </x:c>
      <x:c r="D12" s="42" t="str">
        <x:v>合同类型、合同编号、签约门店、签约分组、签约人、科目、支付金额、支付日期</x:v>
      </x:c>
      <x:c r="E12" s="42" t="str">
        <x:v>按支付日期</x:v>
      </x:c>
      <x:c r="F12" s="42" t="str">
        <x:v>合同类型 + 合同编号 + 支付日期 + 金额 + 科目（必要时）</x:v>
      </x:c>
      <x:c r="G12" s="42" t="str">
        <x:v>MCP提供金额与人员，导出补充签约分组后汇总。</x:v>
      </x:c>
      <x:c r="H12" s="42" t="str">
        <x:v>MCP status值含义未公开；重复款项需用复合键去重。</x:v>
      </x:c>
      <x:c r="I12" s="42" t="str">
        <x:v>无需票据号码和备注时不要导出。</x:v>
      </x:c>
    </x:row>
    <x:row r="13">
      <x:c r="A13" s="42" t="str">
        <x:v>业绩按小组、角色、实收进度分析</x:v>
      </x:c>
      <x:c r="B13" s="42" t="str">
        <x:v>业绩分配 + 实收明细</x:v>
      </x:c>
      <x:c r="C13" s="42" t="str">
        <x:v>业绩明细导出（业绩分配）</x:v>
      </x:c>
      <x:c r="D13" s="42" t="str">
        <x:v>合同类型、合同编号、经纪人、业绩门店、业绩小组、分配类型、分配比例、分配业绩、总实收佣金、总实收业绩</x:v>
      </x:c>
      <x:c r="E13" s="42" t="str">
        <x:v>通常按签约日期；另记录实际导出筛选口径</x:v>
      </x:c>
      <x:c r="F13" s="42" t="str">
        <x:v>合同类型 + 合同编号 + 经纪人 + 分配类型</x:v>
      </x:c>
      <x:c r="G13" s="42" t="str">
        <x:v>MCP提供分配金额；导出补充业绩小组和实收业绩，实收佣金可与MCP实收明细交叉核对。</x:v>
      </x:c>
      <x:c r="H13" s="42" t="str">
        <x:v>总实收业绩不能直接等同分配业绩；退款和未审核款项需单独处理。</x:v>
      </x:c>
      <x:c r="I13" s="42" t="str">
        <x:v>人员姓名属于中敏，内部使用。</x:v>
      </x:c>
    </x:row>
    <x:row r="14">
      <x:c r="A14" s="42" t="str">
        <x:v>合同应收、应付及费用科目分析</x:v>
      </x:c>
      <x:c r="B14" s="42" t="str">
        <x:v>queryContractFinanceData（应收应付）</x:v>
      </x:c>
      <x:c r="C14" s="42" t="str">
        <x:v>通常不需要；仅在部门层级不明确时导出</x:v>
      </x:c>
      <x:c r="D14" s="42" t="str">
        <x:v>合同类型、合同编号、签约门店、应收金额/科目、应付金额/科目、签约日期</x:v>
      </x:c>
      <x:c r="E14" s="42" t="str">
        <x:v>按签约日期</x:v>
      </x:c>
      <x:c r="F14" s="42" t="str">
        <x:v>合同类型 + 合同编号 + 应收科目 + 应付科目</x:v>
      </x:c>
      <x:c r="G14" s="42" t="str">
        <x:v>直接按MCP明细汇总，避免把多条应付科目当作多份合同。</x:v>
      </x:c>
      <x:c r="H14" s="42" t="str">
        <x:v>一份合同可能有多条应付科目，合同数必须去重。</x:v>
      </x:c>
      <x:c r="I14" s="42" t="str">
        <x:v>地址字段可不取。</x:v>
      </x:c>
    </x:row>
    <x:row r="15">
      <x:c r="A15" s="42" t="str">
        <x:v>付款、退款、付款方式及付款人分析</x:v>
      </x:c>
      <x:c r="B15" s="42" t="str">
        <x:v>queryContractFinanceData（付款明细）</x:v>
      </x:c>
      <x:c r="C15" s="42" t="str">
        <x:v>通常不需要</x:v>
      </x:c>
      <x:c r="D15" s="42" t="str">
        <x:v>—</x:v>
      </x:c>
      <x:c r="E15" s="42" t="str">
        <x:v>按付款创建日期/付款日期，需确认系统筛选口径</x:v>
      </x:c>
      <x:c r="F15" s="42" t="str">
        <x:v>合同类型 + 合同编号 + 付款日期 + 金额 + 付款类型</x:v>
      </x:c>
      <x:c r="G15" s="42" t="str">
        <x:v>按付款类型区分实付与退款，再按科目、方式、付款人统计。</x:v>
      </x:c>
      <x:c r="H15" s="42" t="str">
        <x:v>退款正负号和审核状态枚举需核对实际返回。</x:v>
      </x:c>
      <x:c r="I15" s="42" t="str">
        <x:v>付款人姓名和备注按需展示。</x:v>
      </x:c>
    </x:row>
    <x:row r="16">
      <x:c r="A16" s="42" t="str">
        <x:v>离职员工历史业绩、离职前后产能</x:v>
      </x:c>
      <x:c r="B16" s="42" t="str">
        <x:v>业绩分配、合同明细、queryRptData</x:v>
      </x:c>
      <x:c r="C16" s="42" t="str">
        <x:v>人员信息导出（人员列表）</x:v>
      </x:c>
      <x:c r="D16" s="42" t="str">
        <x:v>工号、姓名、组织层级、入职日期、离职状态、离职时间</x:v>
      </x:c>
      <x:c r="E16" s="42" t="str">
        <x:v>最新人员快照；若有组织历史需另取历史快照</x:v>
      </x:c>
      <x:c r="F16" s="42" t="str">
        <x:v>工号优先；否则姓名 + 组织</x:v>
      </x:c>
      <x:c r="G16" s="42" t="str">
        <x:v>按签约/业绩日期与入离职日期判断当时是否在职，再比较阶段产能。</x:v>
      </x:c>
      <x:c r="H16" s="42" t="str">
        <x:v>最新人员表不等于历史组织归属；调店人员需历史组织数据。</x:v>
      </x:c>
      <x:c r="I16" s="42" t="str">
        <x:v>不需要证件、电话、银行等字段。</x:v>
      </x:c>
    </x:row>
    <x:row r="17">
      <x:c r="A17" s="42" t="str">
        <x:v>完整组织架构、门店清单、在职人数</x:v>
      </x:c>
      <x:c r="B17" s="42" t="str">
        <x:v>MCP无法完整提供</x:v>
      </x:c>
      <x:c r="C17" s="42" t="str">
        <x:v>人员信息导出（汇总 + 人员列表）</x:v>
      </x:c>
      <x:c r="D17" s="42" t="str">
        <x:v>运营、大区、片区、门店、分组、职能、姓名、工号、离职/冻结状态</x:v>
      </x:c>
      <x:c r="E17" s="42" t="str">
        <x:v>分析截止日最新快照</x:v>
      </x:c>
      <x:c r="F17" s="42" t="str">
        <x:v>组织层级组合；人员用工号</x:v>
      </x:c>
      <x:c r="G17" s="42" t="str">
        <x:v>汇总表用于快速人数核对，人员列表用于去重和自定义在职口径。</x:v>
      </x:c>
      <x:c r="H17" s="42" t="str">
        <x:v>汇总人数与人员列表去重人数可能因冻结、离职、无组织人员而不同。</x:v>
      </x:c>
      <x:c r="I17" s="42" t="str">
        <x:v>最小化保留字段。</x:v>
      </x:c>
    </x:row>
    <x:row r="18">
      <x:c r="A18" s="43" t="str">
        <x:v>人员活跃、冻结、最近登录分析</x:v>
      </x:c>
      <x:c r="B18" s="43" t="str">
        <x:v>MCP无法提供人员账号状态</x:v>
      </x:c>
      <x:c r="C18" s="43" t="str">
        <x:v>人员信息导出（人员列表）</x:v>
      </x:c>
      <x:c r="D18" s="43" t="str">
        <x:v>工号、姓名、组织层级、离职、冻结、冻结时间、最近登录时间</x:v>
      </x:c>
      <x:c r="E18" s="43" t="str">
        <x:v>最新快照，定期重复导出可观察变化</x:v>
      </x:c>
      <x:c r="F18" s="43" t="str">
        <x:v>工号</x:v>
      </x:c>
      <x:c r="G18" s="43" t="str">
        <x:v>按最近登录天数分层，并排除离职/冻结账号。</x:v>
      </x:c>
      <x:c r="H18" s="43" t="str">
        <x:v>最近登录不等于实际工作活跃；需结合业务动作指标。</x:v>
      </x:c>
      <x:c r="I18" s="43" t="str">
        <x:v>无需电话、证件、地址等字段。</x:v>
      </x:c>
    </x:row>
    <x:row r="19">
      <x:c r="A19" s="76"/>
    </x:row>
    <x:row r="20">
      <x:c r="A20" s="76"/>
    </x:row>
    <x:row r="21">
      <x:c r="A21" s="76"/>
    </x:row>
    <x:row r="22">
      <x:c r="A22" s="76"/>
    </x:row>
    <x:row r="23">
      <x:c r="A23" s="76"/>
    </x:row>
    <x:row r="24">
      <x:c r="A24" s="76"/>
    </x:row>
    <x:row r="25">
      <x:c r="A25" s="76"/>
    </x:row>
    <x:row r="26">
      <x:c r="A26" s="76"/>
    </x:row>
    <x:row r="27">
      <x:c r="A27" s="76"/>
    </x:row>
    <x:row r="28">
      <x:c r="A28" s="76"/>
    </x:row>
    <x:row r="29">
      <x:c r="A29" s="76"/>
    </x:row>
    <x:row r="30">
      <x:c r="A30" s="76"/>
    </x:row>
    <x:row r="31">
      <x:c r="A31" s="76"/>
    </x:row>
    <x:row r="32">
      <x:c r="A32" s="76"/>
    </x:row>
    <x:row r="33">
      <x:c r="A33" s="76"/>
    </x:row>
    <x:row r="34">
      <x:c r="A34" s="76"/>
    </x:row>
    <x:row r="35">
      <x:c r="A35" s="76"/>
    </x:row>
    <x:row r="36">
      <x:c r="A36" s="76"/>
    </x:row>
    <x:row r="37">
      <x:c r="A37" s="76"/>
    </x:row>
    <x:row r="38">
      <x:c r="A38" s="76"/>
    </x:row>
    <x:row r="39">
      <x:c r="A39" s="76"/>
    </x:row>
    <x:row r="40">
      <x:c r="A40" s="76"/>
    </x:row>
    <x:row r="41">
      <x:c r="A41" s="76"/>
    </x:row>
    <x:row r="42">
      <x:c r="A42" s="76"/>
    </x:row>
    <x:row r="43">
      <x:c r="A43" s="76"/>
    </x:row>
    <x:row r="44">
      <x:c r="A44" s="76"/>
    </x:row>
    <x:row r="45">
      <x:c r="A45" s="76"/>
    </x:row>
    <x:row r="46">
      <x:c r="A46" s="76"/>
    </x:row>
    <x:row r="47">
      <x:c r="A47" s="76"/>
    </x:row>
    <x:row r="48">
      <x:c r="A48" s="76"/>
    </x:row>
    <x:row r="49">
      <x:c r="A49" s="76"/>
    </x:row>
    <x:row r="50">
      <x:c r="A50" s="76"/>
    </x:row>
    <x:row r="51">
      <x:c r="A51" s="76"/>
    </x:row>
    <x:row r="52">
      <x:c r="A52" s="76"/>
    </x:row>
    <x:row r="53">
      <x:c r="A53" s="76"/>
    </x:row>
    <x:row r="54">
      <x:c r="A54" s="76"/>
    </x:row>
    <x:row r="55">
      <x:c r="A55" s="76"/>
    </x:row>
    <x:row r="56">
      <x:c r="A56" s="76"/>
    </x:row>
    <x:row r="57">
      <x:c r="A57" s="76"/>
    </x:row>
    <x:row r="58">
      <x:c r="A58" s="76"/>
    </x:row>
    <x:row r="59">
      <x:c r="A59" s="76"/>
    </x:row>
    <x:row r="60">
      <x:c r="A60" s="76"/>
    </x:row>
    <x:row r="61">
      <x:c r="A61" s="76"/>
    </x:row>
    <x:row r="62">
      <x:c r="A62" s="76"/>
    </x:row>
    <x:row r="63">
      <x:c r="A63" s="76"/>
    </x:row>
    <x:row r="64">
      <x:c r="A64" s="76"/>
    </x:row>
    <x:row r="65">
      <x:c r="A65" s="76"/>
    </x:row>
    <x:row r="66">
      <x:c r="A66" s="76"/>
    </x:row>
    <x:row r="67">
      <x:c r="A67" s="76"/>
    </x:row>
    <x:row r="68">
      <x:c r="A68" s="76"/>
    </x:row>
    <x:row r="69">
      <x:c r="A69" s="76"/>
    </x:row>
    <x:row r="70">
      <x:c r="A70" s="76"/>
    </x:row>
    <x:row r="71">
      <x:c r="A71" s="76"/>
    </x:row>
    <x:row r="72">
      <x:c r="A72" s="76"/>
    </x:row>
    <x:row r="73">
      <x:c r="A73" s="76"/>
    </x:row>
    <x:row r="74">
      <x:c r="A74" s="76"/>
    </x:row>
    <x:row r="75">
      <x:c r="A75" s="76"/>
    </x:row>
    <x:row r="76">
      <x:c r="A76" s="76"/>
    </x:row>
    <x:row r="77">
      <x:c r="A77" s="76"/>
    </x:row>
    <x:row r="78">
      <x:c r="A78" s="76"/>
    </x:row>
    <x:row r="79">
      <x:c r="A79" s="76"/>
    </x:row>
    <x:row r="80">
      <x:c r="A80" s="76"/>
    </x:row>
    <x:row r="81">
      <x:c r="A81" s="76"/>
    </x:row>
    <x:row r="82">
      <x:c r="A82" s="76"/>
    </x:row>
    <x:row r="83">
      <x:c r="A83" s="76"/>
    </x:row>
    <x:row r="84">
      <x:c r="A84" s="76"/>
    </x:row>
    <x:row r="85">
      <x:c r="A85" s="76"/>
    </x:row>
    <x:row r="86">
      <x:c r="A86" s="76"/>
    </x:row>
    <x:row r="87">
      <x:c r="A87" s="76"/>
    </x:row>
    <x:row r="88">
      <x:c r="A88" s="76"/>
    </x:row>
    <x:row r="89">
      <x:c r="A89" s="76"/>
    </x:row>
    <x:row r="90">
      <x:c r="A90" s="76"/>
    </x:row>
    <x:row r="91">
      <x:c r="A91" s="76"/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8bff7fcb15a44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56" hidden="0" customWidth="1"/>
  </x:cols>
  <x:sheetData>
    <x:row r="1" ht="28" customHeight="1">
      <x:c r="A1" s="74" t="str">
        <x:v>数据关联键、日期与统计口径规则</x:v>
      </x:c>
      <x:c r="B1" s="5"/>
      <x:c r="C1" s="5"/>
    </x:row>
    <x:row r="2" ht="36" customHeight="1">
      <x:c r="A2" s="75" t="str">
        <x:v>这些规则应直接写入后续Skill，避免合同重复、人员错配、时间口径混用和隐私数据过度导出。</x:v>
      </x:c>
      <x:c r="B2" s="13"/>
      <x:c r="C2" s="13"/>
    </x:row>
    <x:row r="3">
      <x:c r="A3" s="76"/>
    </x:row>
    <x:row r="4" ht="32" customHeight="1">
      <x:c r="A4" s="77" t="str">
        <x:v>规则主题</x:v>
      </x:c>
      <x:c r="B4" s="69" t="str">
        <x:v>规则内容</x:v>
      </x:c>
      <x:c r="C4" s="27" t="str">
        <x:v>原因/风险</x:v>
      </x:c>
    </x:row>
    <x:row r="5">
      <x:c r="A5" s="42" t="str">
        <x:v>合同唯一键</x:v>
      </x:c>
      <x:c r="B5" s="42" t="str">
        <x:v>统一使用“合同类型 + 清理首尾空格后的合同编号”。合同编号始终按文本处理，保留前导零，不要直接转数字。</x:v>
      </x:c>
      <x:c r="C5" s="42" t="str">
        <x:v>不同合同类型可能出现相同合同编号；原始编号可能带空格或前导零。</x:v>
      </x:c>
    </x:row>
    <x:row r="6">
      <x:c r="A6" s="42" t="str">
        <x:v>业绩分配行唯一键</x:v>
      </x:c>
      <x:c r="B6" s="42" t="str">
        <x:v>建议使用“合同类型 + 合同编号 + 经纪人 + 分配类型 + 应收科目”，必要时再加分配金额。</x:v>
      </x:c>
      <x:c r="C6" s="42" t="str">
        <x:v>同一合同会拆成多个人、多种角色、多种科目。</x:v>
      </x:c>
    </x:row>
    <x:row r="7">
      <x:c r="A7" s="42" t="str">
        <x:v>实收/付款去重键</x:v>
      </x:c>
      <x:c r="B7" s="42" t="str">
        <x:v>建议使用“合同类型 + 合同编号 + 日期 + 金额 + 科目/类型 + 人员”，如有票据号则优先加入票据号。</x:v>
      </x:c>
      <x:c r="C7" s="42" t="str">
        <x:v>同一合同可能在同一天有多笔同金额记录，单纯按合同号会误去重。</x:v>
      </x:c>
    </x:row>
    <x:row r="8">
      <x:c r="A8" s="42" t="str">
        <x:v>人员唯一键</x:v>
      </x:c>
      <x:c r="B8" s="42" t="str">
        <x:v>优先使用工号。没有工号时使用“姓名 + 门店/分组”，并保留人工复核清单。</x:v>
      </x:c>
      <x:c r="C8" s="42" t="str">
        <x:v>姓名可能重复，且人员可能调店。</x:v>
      </x:c>
    </x:row>
    <x:row r="9">
      <x:c r="A9" s="42" t="str">
        <x:v>组织口径</x:v>
      </x:c>
      <x:c r="B9" s="42" t="str">
        <x:v>明确分析使用“当前组织”还是“业务发生时组织”。当前人员表通常只能代表导出时点。</x:v>
      </x:c>
      <x:c r="C9" s="42" t="str">
        <x:v>人员调店后，用当前组织回填历史业务会产生错归属。</x:v>
      </x:c>
    </x:row>
    <x:row r="10">
      <x:c r="A10" s="42" t="str">
        <x:v>人数口径</x:v>
      </x:c>
      <x:c r="B10" s="42" t="str">
        <x:v>必须事先定义：期末在职人数、期初在职人数、期间平均在职人数、参与业务人数或账号人数。</x:v>
      </x:c>
      <x:c r="C10" s="42" t="str">
        <x:v>不同分母会导致人均指标和开单率差异很大。</x:v>
      </x:c>
    </x:row>
    <x:row r="11">
      <x:c r="A11" s="42" t="str">
        <x:v>日期口径</x:v>
      </x:c>
      <x:c r="B11" s="42" t="str">
        <x:v>每次让客户导出时，必须记录导出页面选择的日期字段、开始日期、结束日期和导出时间。</x:v>
      </x:c>
      <x:c r="C11" s="42" t="str">
        <x:v>文件名中的月份不能证明筛选口径；MCP不同类型的日期口径也不相同。</x:v>
      </x:c>
    </x:row>
    <x:row r="12">
      <x:c r="A12" s="42" t="str">
        <x:v>MCP 31天限制</x:v>
      </x:c>
      <x:c r="B12" s="42" t="str">
        <x:v>日期跨度超过31天时，按自然月或不超过31天窗口拆分调用，再合并。</x:v>
      </x:c>
      <x:c r="C12" s="42" t="str">
        <x:v>queryRptData和合同财务明细工具都有日期范围限制。</x:v>
      </x:c>
    </x:row>
    <x:row r="13">
      <x:c r="A13" s="42" t="str">
        <x:v>统计与明细关系</x:v>
      </x:c>
      <x:c r="B13" s="42" t="str">
        <x:v>queryRptData用于统计值；合同明细/业绩分配用于明细核对。三者不一致时必须展示差异，不强行对齐。</x:v>
      </x:c>
      <x:c r="C13" s="42" t="str">
        <x:v>统计归属口径可能与合同明细条数不同。</x:v>
      </x:c>
    </x:row>
    <x:row r="14">
      <x:c r="A14" s="42" t="str">
        <x:v>金额标准化</x:v>
      </x:c>
      <x:c r="B14" s="42" t="str">
        <x:v>成交金额/租金可能混合“万元”和“元/月”；金额字段可能是文本。计算前必须拆分业务类型和单位。</x:v>
      </x:c>
      <x:c r="C14" s="42" t="str">
        <x:v>直接求和会产生数量级错误。</x:v>
      </x:c>
    </x:row>
    <x:row r="15">
      <x:c r="A15" s="42" t="str">
        <x:v>退款处理</x:v>
      </x:c>
      <x:c r="B15" s="42" t="str">
        <x:v>付款/实收分析必须明确退款是正数配合类型字段，还是负数金额；审核未通过记录是否纳入也要定义。</x:v>
      </x:c>
      <x:c r="C15" s="42" t="str">
        <x:v>不同系统导出和MCP返回可能采用不同符号。</x:v>
      </x:c>
    </x:row>
    <x:row r="16">
      <x:c r="A16" s="42" t="str">
        <x:v>部门字段风险</x:v>
      </x:c>
      <x:c r="B16" s="42" t="str">
        <x:v>MCP中的deptName/assignDeptName是通用部门名，不能默认等于门店或小组。</x:v>
      </x:c>
      <x:c r="C16" s="42" t="str">
        <x:v>组织层级未公开，且不同公司组织结构不同。</x:v>
      </x:c>
    </x:row>
    <x:row r="17">
      <x:c r="A17" s="42" t="str">
        <x:v>最小化导出</x:v>
      </x:c>
      <x:c r="B17" s="42" t="str">
        <x:v>只指导客户保留解决问题所需字段，默认删除身份证、银行卡、社保、公积金、详细地址、紧急联系人等无关敏感字段。</x:v>
      </x:c>
      <x:c r="C17" s="42" t="str">
        <x:v>降低隐私泄露和误用风险。</x:v>
      </x:c>
    </x:row>
    <x:row r="18">
      <x:c r="A18" s="42" t="str">
        <x:v>脱敏规则</x:v>
      </x:c>
      <x:c r="B18" s="42" t="str">
        <x:v>证件号和手机号默认仅保留前3后4；详细地址默认保留到小区级；姓名对外展示可使用姓氏+先生/女士或编号。</x:v>
      </x:c>
      <x:c r="C18" s="42" t="str">
        <x:v>合同和人员导出包含大量个人敏感信息。</x:v>
      </x:c>
    </x:row>
    <x:row r="19">
      <x:c r="A19" s="42" t="str">
        <x:v>通用化要求</x:v>
      </x:c>
      <x:c r="B19" s="42" t="str">
        <x:v>Skill和分析模板中不得写死公司名、门店名、人员名或具体组织层级名称；组织层级按导出字段动态识别。</x:v>
      </x:c>
      <x:c r="C19" s="42" t="str">
        <x:v>确保所有公司可复用。</x:v>
      </x:c>
    </x:row>
    <x:row r="20">
      <x:c r="A20" s="43" t="str">
        <x:v>缺失字段处理</x:v>
      </x:c>
      <x:c r="B20" s="43" t="str">
        <x:v>MCP未支持字段优先要求客户导出指定表和时间段；不要通过备注文本猜测结构化字段。</x:v>
      </x:c>
      <x:c r="C20" s="43" t="str">
        <x:v>备注自由文本不稳定，容易误判。</x:v>
      </x:c>
    </x:row>
    <x:row r="21">
      <x:c r="A21" s="76"/>
    </x:row>
    <x:row r="22">
      <x:c r="A22" s="76"/>
    </x:row>
    <x:row r="23">
      <x:c r="A23" s="76"/>
    </x:row>
    <x:row r="24">
      <x:c r="A24" s="76"/>
    </x:row>
    <x:row r="25">
      <x:c r="A25" s="76"/>
    </x:row>
    <x:row r="26">
      <x:c r="A26" s="76"/>
    </x:row>
    <x:row r="27">
      <x:c r="A27" s="76"/>
    </x:row>
    <x:row r="28">
      <x:c r="A28" s="76"/>
    </x:row>
    <x:row r="29">
      <x:c r="A29" s="76"/>
    </x:row>
    <x:row r="30">
      <x:c r="A30" s="76"/>
    </x:row>
    <x:row r="31">
      <x:c r="A31" s="76"/>
    </x:row>
    <x:row r="32">
      <x:c r="A32" s="76"/>
    </x:row>
    <x:row r="33">
      <x:c r="A33" s="76"/>
    </x:row>
    <x:row r="34">
      <x:c r="A34" s="76"/>
    </x:row>
    <x:row r="35">
      <x:c r="A35" s="76"/>
    </x:row>
    <x:row r="36">
      <x:c r="A36" s="76"/>
    </x:row>
    <x:row r="37">
      <x:c r="A37" s="76"/>
    </x:row>
    <x:row r="38">
      <x:c r="A38" s="76"/>
    </x:row>
    <x:row r="39">
      <x:c r="A39" s="76"/>
    </x:row>
    <x:row r="40">
      <x:c r="A40" s="76"/>
    </x:row>
    <x:row r="41">
      <x:c r="A41" s="76"/>
    </x:row>
    <x:row r="42">
      <x:c r="A42" s="76"/>
    </x:row>
    <x:row r="43">
      <x:c r="A43" s="76"/>
    </x:row>
    <x:row r="44">
      <x:c r="A44" s="76"/>
    </x:row>
    <x:row r="45">
      <x:c r="A45" s="76"/>
    </x:row>
    <x:row r="46">
      <x:c r="A46" s="76"/>
    </x:row>
    <x:row r="47">
      <x:c r="A47" s="76"/>
    </x:row>
    <x:row r="48">
      <x:c r="A48" s="76"/>
    </x:row>
    <x:row r="49">
      <x:c r="A49" s="76"/>
    </x:row>
    <x:row r="50">
      <x:c r="A50" s="76"/>
    </x:row>
    <x:row r="51">
      <x:c r="A51" s="76"/>
    </x:row>
    <x:row r="52">
      <x:c r="A52" s="76"/>
    </x:row>
    <x:row r="53">
      <x:c r="A53" s="76"/>
    </x:row>
    <x:row r="54">
      <x:c r="A54" s="76"/>
    </x:row>
    <x:row r="55">
      <x:c r="A55" s="76"/>
    </x:row>
    <x:row r="56">
      <x:c r="A56" s="76"/>
    </x:row>
    <x:row r="57">
      <x:c r="A57" s="76"/>
    </x:row>
    <x:row r="58">
      <x:c r="A58" s="76"/>
    </x:row>
    <x:row r="59">
      <x:c r="A59" s="76"/>
    </x:row>
    <x:row r="60">
      <x:c r="A60" s="76"/>
    </x:row>
    <x:row r="61">
      <x:c r="A61" s="76"/>
    </x:row>
    <x:row r="62">
      <x:c r="A62" s="76"/>
    </x:row>
    <x:row r="63">
      <x:c r="A63" s="76"/>
    </x:row>
    <x:row r="64">
      <x:c r="A64" s="76"/>
    </x:row>
    <x:row r="65">
      <x:c r="A65" s="76"/>
    </x:row>
    <x:row r="66">
      <x:c r="A66" s="76"/>
    </x:row>
    <x:row r="67">
      <x:c r="A67" s="76"/>
    </x:row>
    <x:row r="68">
      <x:c r="A68" s="76"/>
    </x:row>
    <x:row r="69">
      <x:c r="A69" s="76"/>
    </x:row>
    <x:row r="70">
      <x:c r="A70" s="76"/>
    </x:row>
    <x:row r="71">
      <x:c r="A71" s="76"/>
    </x:row>
    <x:row r="72">
      <x:c r="A72" s="76"/>
    </x:row>
    <x:row r="73">
      <x:c r="A73" s="76"/>
    </x:row>
    <x:row r="74">
      <x:c r="A74" s="76"/>
    </x:row>
    <x:row r="75">
      <x:c r="A75" s="76"/>
    </x:row>
    <x:row r="76">
      <x:c r="A76" s="76"/>
    </x:row>
    <x:row r="77">
      <x:c r="A77" s="76"/>
    </x:row>
    <x:row r="78">
      <x:c r="A78" s="76"/>
    </x:row>
    <x:row r="79">
      <x:c r="A79" s="76"/>
    </x:row>
    <x:row r="80">
      <x:c r="A80" s="76"/>
    </x:row>
    <x:row r="81">
      <x:c r="A81" s="76"/>
    </x:row>
    <x:row r="82">
      <x:c r="A82" s="76"/>
    </x:row>
    <x:row r="83">
      <x:c r="A83" s="76"/>
    </x:row>
    <x:row r="84">
      <x:c r="A84" s="76"/>
    </x:row>
    <x:row r="85">
      <x:c r="A85" s="76"/>
    </x:row>
    <x:row r="86">
      <x:c r="A86" s="76"/>
    </x:row>
    <x:row r="87">
      <x:c r="A87" s="76"/>
    </x:row>
    <x:row r="88">
      <x:c r="A88" s="76"/>
    </x:row>
    <x:row r="89">
      <x:c r="A89" s="76"/>
    </x:row>
    <x:row r="90">
      <x:c r="A90" s="76"/>
    </x:row>
    <x:row r="91">
      <x:c r="A91" s="76"/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31f2b2e6f3b4a3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4" hidden="0" customWidth="1"/>
    <x:col min="4" max="4" width="18" hidden="0" customWidth="1"/>
    <x:col min="5" max="5" width="13" hidden="0" customWidth="1"/>
    <x:col min="6" max="6" width="20" hidden="0" customWidth="1"/>
    <x:col min="7" max="7" width="34" hidden="0" customWidth="1"/>
    <x:col min="8" max="8" width="10" hidden="0" customWidth="1"/>
    <x:col min="9" max="9" width="14" hidden="0" customWidth="1"/>
    <x:col min="10" max="10" width="48" hidden="0" customWidth="1"/>
  </x:cols>
  <x:sheetData>
    <x:row r="1" ht="28" customHeight="1">
      <x:c r="A1" s="74" t="str">
        <x:v>敏感字段与最小化导出建议（87项）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75" t="str">
        <x:v>中敏/高敏字段不代表一律不可用，而是要求最小化、授权、脱敏和限制展示。一般经营分析不要导出无关人事与金融信息。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76"/>
    </x:row>
    <x:row r="4" ht="32" customHeight="1">
      <x:c r="A4" s="77" t="str">
        <x:v>序号</x:v>
      </x:c>
      <x:c r="B4" s="69" t="str">
        <x:v>导出表</x:v>
      </x:c>
      <x:c r="C4" s="69" t="str">
        <x:v>工作表/模块</x:v>
      </x:c>
      <x:c r="D4" s="69" t="str">
        <x:v>原始字段名</x:v>
      </x:c>
      <x:c r="E4" s="69" t="str">
        <x:v>字段上下文</x:v>
      </x:c>
      <x:c r="F4" s="69" t="str">
        <x:v>标准字段名</x:v>
      </x:c>
      <x:c r="G4" s="69" t="str">
        <x:v>字段含义</x:v>
      </x:c>
      <x:c r="H4" s="69" t="str">
        <x:v>敏感级别</x:v>
      </x:c>
      <x:c r="I4" s="69" t="str">
        <x:v>是否需客户导出</x:v>
      </x:c>
      <x:c r="J4" s="27" t="str">
        <x:v>推荐处理方式</x:v>
      </x:c>
    </x:row>
    <x:row r="5">
      <x:c r="A5" s="42" t="n">
        <x:v>1</x:v>
      </x:c>
      <x:c r="B5" s="42" t="str">
        <x:v>付款明细导出</x:v>
      </x:c>
      <x:c r="C5" s="42" t="str">
        <x:v>付款明细</x:v>
      </x:c>
      <x:c r="D5" s="42" t="str">
        <x:v>合同编号</x:v>
      </x:c>
      <x:c r="E5" s="42" t="str"/>
      <x:c r="F5" s="42" t="str">
        <x:v>合同编号</x:v>
      </x:c>
      <x:c r="G5" s="42" t="str">
        <x:v>合同编号</x:v>
      </x:c>
      <x:c r="H5" s="42" t="str">
        <x:v>中敏</x:v>
      </x:c>
      <x:c r="I5" s="42" t="str">
        <x:v>否</x:v>
      </x:c>
      <x:c r="J5" s="42" t="str">
        <x:v>优先直接用MCP查询。</x:v>
      </x:c>
    </x:row>
    <x:row r="6">
      <x:c r="A6" s="42" t="n">
        <x:v>2</x:v>
      </x:c>
      <x:c r="B6" s="42" t="str">
        <x:v>付款明细导出</x:v>
      </x:c>
      <x:c r="C6" s="42" t="str">
        <x:v>付款明细</x:v>
      </x:c>
      <x:c r="D6" s="42" t="str">
        <x:v>金额</x:v>
      </x:c>
      <x:c r="E6" s="42" t="str"/>
      <x:c r="F6" s="42" t="str">
        <x:v>付款金额</x:v>
      </x:c>
      <x:c r="G6" s="42" t="str">
        <x:v>付款或退款金额</x:v>
      </x:c>
      <x:c r="H6" s="42" t="str">
        <x:v>中敏</x:v>
      </x:c>
      <x:c r="I6" s="42" t="str">
        <x:v>否</x:v>
      </x:c>
      <x:c r="J6" s="42" t="str">
        <x:v>优先直接用MCP查询。</x:v>
      </x:c>
    </x:row>
    <x:row r="7">
      <x:c r="A7" s="42" t="n">
        <x:v>3</x:v>
      </x:c>
      <x:c r="B7" s="42" t="str">
        <x:v>付款明细导出</x:v>
      </x:c>
      <x:c r="C7" s="42" t="str">
        <x:v>付款明细</x:v>
      </x:c>
      <x:c r="D7" s="42" t="str">
        <x:v>付款人</x:v>
      </x:c>
      <x:c r="E7" s="42" t="str"/>
      <x:c r="F7" s="42" t="str">
        <x:v>付款人</x:v>
      </x:c>
      <x:c r="G7" s="42" t="str">
        <x:v>实际付款人姓名</x:v>
      </x:c>
      <x:c r="H7" s="42" t="str">
        <x:v>中敏</x:v>
      </x:c>
      <x:c r="I7" s="42" t="str">
        <x:v>否</x:v>
      </x:c>
      <x:c r="J7" s="42" t="str">
        <x:v>优先直接用MCP查询。</x:v>
      </x:c>
    </x:row>
    <x:row r="8">
      <x:c r="A8" s="42" t="n">
        <x:v>4</x:v>
      </x:c>
      <x:c r="B8" s="42" t="str">
        <x:v>付款明细导出</x:v>
      </x:c>
      <x:c r="C8" s="42" t="str">
        <x:v>付款明细</x:v>
      </x:c>
      <x:c r="D8" s="42" t="str">
        <x:v>备注</x:v>
      </x:c>
      <x:c r="E8" s="42" t="str"/>
      <x:c r="F8" s="42" t="str">
        <x:v>付款备注</x:v>
      </x:c>
      <x:c r="G8" s="42" t="str">
        <x:v>付款补充说明</x:v>
      </x:c>
      <x:c r="H8" s="42" t="str">
        <x:v>中敏</x:v>
      </x:c>
      <x:c r="I8" s="42" t="str">
        <x:v>否</x:v>
      </x:c>
      <x:c r="J8" s="42" t="str">
        <x:v>优先直接用MCP查询。</x:v>
      </x:c>
    </x:row>
    <x:row r="9">
      <x:c r="A9" s="42" t="n">
        <x:v>5</x:v>
      </x:c>
      <x:c r="B9" s="42" t="str">
        <x:v>合同信息导出</x:v>
      </x:c>
      <x:c r="C9" s="42" t="str">
        <x:v>合同信息</x:v>
      </x:c>
      <x:c r="D9" s="42" t="str">
        <x:v>合同编号</x:v>
      </x:c>
      <x:c r="E9" s="42" t="str"/>
      <x:c r="F9" s="42" t="str">
        <x:v>合同编号</x:v>
      </x:c>
      <x:c r="G9" s="42" t="str">
        <x:v>合同编号</x:v>
      </x:c>
      <x:c r="H9" s="42" t="str">
        <x:v>中敏</x:v>
      </x:c>
      <x:c r="I9" s="42" t="str">
        <x:v>否</x:v>
      </x:c>
      <x:c r="J9" s="42" t="str">
        <x:v>直接使用MCP。</x:v>
      </x:c>
    </x:row>
    <x:row r="10">
      <x:c r="A10" s="42" t="n">
        <x:v>6</x:v>
      </x:c>
      <x:c r="B10" s="42" t="str">
        <x:v>合同信息导出</x:v>
      </x:c>
      <x:c r="C10" s="42" t="str">
        <x:v>合同信息</x:v>
      </x:c>
      <x:c r="D10" s="42" t="str">
        <x:v>产权地址</x:v>
      </x:c>
      <x:c r="E10" s="42" t="str"/>
      <x:c r="F10" s="42" t="str">
        <x:v>产权地址</x:v>
      </x:c>
      <x:c r="G10" s="42" t="str">
        <x:v>房屋完整产权地址</x:v>
      </x:c>
      <x:c r="H10" s="42" t="str">
        <x:v>高敏</x:v>
      </x:c>
      <x:c r="I10" s="42" t="str">
        <x:v>否</x:v>
      </x:c>
      <x:c r="J10" s="42" t="str">
        <x:v>直接使用MCP，输出时建议脱敏到小区/楼栋级。</x:v>
      </x:c>
    </x:row>
    <x:row r="11">
      <x:c r="A11" s="42" t="n">
        <x:v>7</x:v>
      </x:c>
      <x:c r="B11" s="42" t="str">
        <x:v>合同信息导出</x:v>
      </x:c>
      <x:c r="C11" s="42" t="str">
        <x:v>合同信息</x:v>
      </x:c>
      <x:c r="D11" s="42" t="str">
        <x:v>门牌号</x:v>
      </x:c>
      <x:c r="E11" s="42" t="str"/>
      <x:c r="F11" s="42" t="str">
        <x:v>门牌号</x:v>
      </x:c>
      <x:c r="G11" s="42" t="str">
        <x:v>楼栋、单元、房号</x:v>
      </x:c>
      <x:c r="H11" s="42" t="str">
        <x:v>高敏</x:v>
      </x:c>
      <x:c r="I11" s="42" t="str">
        <x:v>否</x:v>
      </x:c>
      <x:c r="J11" s="42" t="str">
        <x:v>直接使用MCP，公开输出时脱敏。</x:v>
      </x:c>
    </x:row>
    <x:row r="12">
      <x:c r="A12" s="42" t="n">
        <x:v>8</x:v>
      </x:c>
      <x:c r="B12" s="42" t="str">
        <x:v>合同信息导出</x:v>
      </x:c>
      <x:c r="C12" s="42" t="str">
        <x:v>合同信息</x:v>
      </x:c>
      <x:c r="D12" s="42" t="str">
        <x:v>卖方/房东</x:v>
      </x:c>
      <x:c r="E12" s="42" t="str">
        <x:v>卖方/房东</x:v>
      </x:c>
      <x:c r="F12" s="42" t="str">
        <x:v>业主姓名</x:v>
      </x:c>
      <x:c r="G12" s="42" t="str">
        <x:v>卖方或房东姓名</x:v>
      </x:c>
      <x:c r="H12" s="42" t="str">
        <x:v>高敏</x:v>
      </x:c>
      <x:c r="I12" s="42" t="str">
        <x:v>否</x:v>
      </x:c>
      <x:c r="J12" s="42" t="str">
        <x:v>直接使用MCP，默认脱敏。</x:v>
      </x:c>
    </x:row>
    <x:row r="13">
      <x:c r="A13" s="42" t="n">
        <x:v>9</x:v>
      </x:c>
      <x:c r="B13" s="42" t="str">
        <x:v>合同信息导出</x:v>
      </x:c>
      <x:c r="C13" s="42" t="str">
        <x:v>合同信息</x:v>
      </x:c>
      <x:c r="D13" s="42" t="str">
        <x:v>身份证</x:v>
      </x:c>
      <x:c r="E13" s="42" t="str">
        <x:v>卖方/房东</x:v>
      </x:c>
      <x:c r="F13" s="42" t="str">
        <x:v>业主证件号</x:v>
      </x:c>
      <x:c r="G13" s="42" t="str">
        <x:v>卖方或房东证件号码</x:v>
      </x:c>
      <x:c r="H13" s="42" t="str">
        <x:v>高敏</x:v>
      </x:c>
      <x:c r="I13" s="42" t="str">
        <x:v>否</x:v>
      </x:c>
      <x:c r="J13" s="42" t="str">
        <x:v>仅在明确必要时读取，默认脱敏。</x:v>
      </x:c>
    </x:row>
    <x:row r="14">
      <x:c r="A14" s="42" t="n">
        <x:v>10</x:v>
      </x:c>
      <x:c r="B14" s="42" t="str">
        <x:v>合同信息导出</x:v>
      </x:c>
      <x:c r="C14" s="42" t="str">
        <x:v>合同信息</x:v>
      </x:c>
      <x:c r="D14" s="42" t="str">
        <x:v>卖方/房东
经纪人</x:v>
      </x:c>
      <x:c r="E14" s="42" t="str">
        <x:v>卖方/房东</x:v>
      </x:c>
      <x:c r="F14" s="42" t="str">
        <x:v>房源方经纪人</x:v>
      </x:c>
      <x:c r="G14" s="42" t="str">
        <x:v>负责房源侧的经纪人</x:v>
      </x:c>
      <x:c r="H14" s="42" t="str">
        <x:v>中敏</x:v>
      </x:c>
      <x:c r="I14" s="42" t="str">
        <x:v>否</x:v>
      </x:c>
      <x:c r="J14" s="42" t="str">
        <x:v>直接使用MCP。</x:v>
      </x:c>
    </x:row>
    <x:row r="15">
      <x:c r="A15" s="42" t="n">
        <x:v>11</x:v>
      </x:c>
      <x:c r="B15" s="42" t="str">
        <x:v>合同信息导出</x:v>
      </x:c>
      <x:c r="C15" s="42" t="str">
        <x:v>合同信息</x:v>
      </x:c>
      <x:c r="D15" s="42" t="str">
        <x:v>卖方/房东
职能</x:v>
      </x:c>
      <x:c r="E15" s="42" t="str">
        <x:v>卖方/房东</x:v>
      </x:c>
      <x:c r="F15" s="42" t="str">
        <x:v>房源方职能</x:v>
      </x:c>
      <x:c r="G15" s="42" t="str">
        <x:v>房源方经纪人的职能</x:v>
      </x:c>
      <x:c r="H15" s="42" t="str">
        <x:v>中敏</x:v>
      </x:c>
      <x:c r="I15" s="42" t="str">
        <x:v>是</x:v>
      </x:c>
      <x:c r="J15" s="42" t="str">
        <x:v>需要合同信息或人员信息导出。</x:v>
      </x:c>
    </x:row>
    <x:row r="16">
      <x:c r="A16" s="42" t="n">
        <x:v>12</x:v>
      </x:c>
      <x:c r="B16" s="42" t="str">
        <x:v>合同信息导出</x:v>
      </x:c>
      <x:c r="C16" s="42" t="str">
        <x:v>合同信息</x:v>
      </x:c>
      <x:c r="D16" s="42" t="str">
        <x:v>买方/租客</x:v>
      </x:c>
      <x:c r="E16" s="42" t="str">
        <x:v>买方/租客</x:v>
      </x:c>
      <x:c r="F16" s="42" t="str">
        <x:v>客户姓名</x:v>
      </x:c>
      <x:c r="G16" s="42" t="str">
        <x:v>买方或租客姓名</x:v>
      </x:c>
      <x:c r="H16" s="42" t="str">
        <x:v>高敏</x:v>
      </x:c>
      <x:c r="I16" s="42" t="str">
        <x:v>否</x:v>
      </x:c>
      <x:c r="J16" s="42" t="str">
        <x:v>直接使用MCP，默认脱敏。</x:v>
      </x:c>
    </x:row>
    <x:row r="17">
      <x:c r="A17" s="42" t="n">
        <x:v>13</x:v>
      </x:c>
      <x:c r="B17" s="42" t="str">
        <x:v>合同信息导出</x:v>
      </x:c>
      <x:c r="C17" s="42" t="str">
        <x:v>合同信息</x:v>
      </x:c>
      <x:c r="D17" s="42" t="str">
        <x:v>身份证</x:v>
      </x:c>
      <x:c r="E17" s="42" t="str">
        <x:v>买方/租客</x:v>
      </x:c>
      <x:c r="F17" s="42" t="str">
        <x:v>客户证件号</x:v>
      </x:c>
      <x:c r="G17" s="42" t="str">
        <x:v>买方或租客证件号码</x:v>
      </x:c>
      <x:c r="H17" s="42" t="str">
        <x:v>高敏</x:v>
      </x:c>
      <x:c r="I17" s="42" t="str">
        <x:v>否</x:v>
      </x:c>
      <x:c r="J17" s="42" t="str">
        <x:v>仅在明确必要时读取，默认脱敏。</x:v>
      </x:c>
    </x:row>
    <x:row r="18">
      <x:c r="A18" s="42" t="n">
        <x:v>14</x:v>
      </x:c>
      <x:c r="B18" s="42" t="str">
        <x:v>合同信息导出</x:v>
      </x:c>
      <x:c r="C18" s="42" t="str">
        <x:v>合同信息</x:v>
      </x:c>
      <x:c r="D18" s="42" t="str">
        <x:v>买方/租客
经纪人</x:v>
      </x:c>
      <x:c r="E18" s="42" t="str">
        <x:v>买方/租客</x:v>
      </x:c>
      <x:c r="F18" s="42" t="str">
        <x:v>客源方经纪人</x:v>
      </x:c>
      <x:c r="G18" s="42" t="str">
        <x:v>负责客户侧的经纪人</x:v>
      </x:c>
      <x:c r="H18" s="42" t="str">
        <x:v>中敏</x:v>
      </x:c>
      <x:c r="I18" s="42" t="str">
        <x:v>否</x:v>
      </x:c>
      <x:c r="J18" s="42" t="str">
        <x:v>直接使用MCP。</x:v>
      </x:c>
    </x:row>
    <x:row r="19">
      <x:c r="A19" s="42" t="n">
        <x:v>15</x:v>
      </x:c>
      <x:c r="B19" s="42" t="str">
        <x:v>合同信息导出</x:v>
      </x:c>
      <x:c r="C19" s="42" t="str">
        <x:v>合同信息</x:v>
      </x:c>
      <x:c r="D19" s="42" t="str">
        <x:v>买方/租客
职能</x:v>
      </x:c>
      <x:c r="E19" s="42" t="str">
        <x:v>买方/租客</x:v>
      </x:c>
      <x:c r="F19" s="42" t="str">
        <x:v>客源方职能</x:v>
      </x:c>
      <x:c r="G19" s="42" t="str">
        <x:v>客源方经纪人的职能</x:v>
      </x:c>
      <x:c r="H19" s="42" t="str">
        <x:v>中敏</x:v>
      </x:c>
      <x:c r="I19" s="42" t="str">
        <x:v>是</x:v>
      </x:c>
      <x:c r="J19" s="42" t="str">
        <x:v>需要合同信息或人员信息导出。</x:v>
      </x:c>
    </x:row>
    <x:row r="20">
      <x:c r="A20" s="42" t="n">
        <x:v>16</x:v>
      </x:c>
      <x:c r="B20" s="42" t="str">
        <x:v>合同信息导出</x:v>
      </x:c>
      <x:c r="C20" s="42" t="str">
        <x:v>合同信息</x:v>
      </x:c>
      <x:c r="D20" s="42" t="str">
        <x:v>成交金额/租金</x:v>
      </x:c>
      <x:c r="E20" s="42" t="str"/>
      <x:c r="F20" s="42" t="str">
        <x:v>成交金额/租金</x:v>
      </x:c>
      <x:c r="G20" s="42" t="str">
        <x:v>买卖成交总价或租赁月租</x:v>
      </x:c>
      <x:c r="H20" s="42" t="str">
        <x:v>中敏</x:v>
      </x:c>
      <x:c r="I20" s="42" t="str">
        <x:v>否</x:v>
      </x:c>
      <x:c r="J20" s="42" t="str">
        <x:v>直接使用MCP。</x:v>
      </x:c>
    </x:row>
    <x:row r="21">
      <x:c r="A21" s="42" t="n">
        <x:v>17</x:v>
      </x:c>
      <x:c r="B21" s="42" t="str">
        <x:v>合同信息导出</x:v>
      </x:c>
      <x:c r="C21" s="42" t="str">
        <x:v>合同信息</x:v>
      </x:c>
      <x:c r="D21" s="42" t="str">
        <x:v>卖方/房东
应收佣金</x:v>
      </x:c>
      <x:c r="E21" s="42" t="str">
        <x:v>卖方/房东</x:v>
      </x:c>
      <x:c r="F21" s="42" t="str">
        <x:v>房源方应收佣金</x:v>
      </x:c>
      <x:c r="G21" s="42" t="str">
        <x:v>房源方应收佣金金额</x:v>
      </x:c>
      <x:c r="H21" s="42" t="str">
        <x:v>中敏</x:v>
      </x:c>
      <x:c r="I21" s="42" t="str">
        <x:v>否</x:v>
      </x:c>
      <x:c r="J21" s="42" t="str">
        <x:v>直接使用MCP。</x:v>
      </x:c>
    </x:row>
    <x:row r="22">
      <x:c r="A22" s="42" t="n">
        <x:v>18</x:v>
      </x:c>
      <x:c r="B22" s="42" t="str">
        <x:v>合同信息导出</x:v>
      </x:c>
      <x:c r="C22" s="42" t="str">
        <x:v>合同信息</x:v>
      </x:c>
      <x:c r="D22" s="42" t="str">
        <x:v>买方/租客
应收佣金</x:v>
      </x:c>
      <x:c r="E22" s="42" t="str">
        <x:v>买方/租客</x:v>
      </x:c>
      <x:c r="F22" s="42" t="str">
        <x:v>客源方应收佣金</x:v>
      </x:c>
      <x:c r="G22" s="42" t="str">
        <x:v>客源方应收佣金金额</x:v>
      </x:c>
      <x:c r="H22" s="42" t="str">
        <x:v>中敏</x:v>
      </x:c>
      <x:c r="I22" s="42" t="str">
        <x:v>否</x:v>
      </x:c>
      <x:c r="J22" s="42" t="str">
        <x:v>直接使用MCP。</x:v>
      </x:c>
    </x:row>
    <x:row r="23">
      <x:c r="A23" s="42" t="n">
        <x:v>19</x:v>
      </x:c>
      <x:c r="B23" s="42" t="str">
        <x:v>合同信息导出</x:v>
      </x:c>
      <x:c r="C23" s="42" t="str">
        <x:v>合同信息</x:v>
      </x:c>
      <x:c r="D23" s="42" t="str">
        <x:v>卖方/房东
实收佣金</x:v>
      </x:c>
      <x:c r="E23" s="42" t="str">
        <x:v>卖方/房东</x:v>
      </x:c>
      <x:c r="F23" s="42" t="str">
        <x:v>房源方实收佣金</x:v>
      </x:c>
      <x:c r="G23" s="42" t="str">
        <x:v>房源方已收佣金金额</x:v>
      </x:c>
      <x:c r="H23" s="42" t="str">
        <x:v>中敏</x:v>
      </x:c>
      <x:c r="I23" s="42" t="str">
        <x:v>否</x:v>
      </x:c>
      <x:c r="J23" s="42" t="str">
        <x:v>直接使用MCP。</x:v>
      </x:c>
    </x:row>
    <x:row r="24">
      <x:c r="A24" s="42" t="n">
        <x:v>20</x:v>
      </x:c>
      <x:c r="B24" s="42" t="str">
        <x:v>合同信息导出</x:v>
      </x:c>
      <x:c r="C24" s="42" t="str">
        <x:v>合同信息</x:v>
      </x:c>
      <x:c r="D24" s="42" t="str">
        <x:v>买方/租客
实收佣金</x:v>
      </x:c>
      <x:c r="E24" s="42" t="str">
        <x:v>买方/租客</x:v>
      </x:c>
      <x:c r="F24" s="42" t="str">
        <x:v>客源方实收佣金</x:v>
      </x:c>
      <x:c r="G24" s="42" t="str">
        <x:v>客源方已收佣金金额</x:v>
      </x:c>
      <x:c r="H24" s="42" t="str">
        <x:v>中敏</x:v>
      </x:c>
      <x:c r="I24" s="42" t="str">
        <x:v>否</x:v>
      </x:c>
      <x:c r="J24" s="42" t="str">
        <x:v>直接使用MCP。</x:v>
      </x:c>
    </x:row>
    <x:row r="25">
      <x:c r="A25" s="42" t="n">
        <x:v>21</x:v>
      </x:c>
      <x:c r="B25" s="42" t="str">
        <x:v>合同信息导出</x:v>
      </x:c>
      <x:c r="C25" s="42" t="str">
        <x:v>合同信息</x:v>
      </x:c>
      <x:c r="D25" s="42" t="str">
        <x:v>签约人</x:v>
      </x:c>
      <x:c r="E25" s="42" t="str"/>
      <x:c r="F25" s="42" t="str">
        <x:v>签约人</x:v>
      </x:c>
      <x:c r="G25" s="42" t="str">
        <x:v>合同签约经纪人</x:v>
      </x:c>
      <x:c r="H25" s="42" t="str">
        <x:v>中敏</x:v>
      </x:c>
      <x:c r="I25" s="42" t="str">
        <x:v>否</x:v>
      </x:c>
      <x:c r="J25" s="42" t="str">
        <x:v>直接使用MCP。</x:v>
      </x:c>
    </x:row>
    <x:row r="26">
      <x:c r="A26" s="42" t="n">
        <x:v>22</x:v>
      </x:c>
      <x:c r="B26" s="42" t="str">
        <x:v>合同信息导出</x:v>
      </x:c>
      <x:c r="C26" s="42" t="str">
        <x:v>合同信息</x:v>
      </x:c>
      <x:c r="D26" s="42" t="str">
        <x:v>产权证号</x:v>
      </x:c>
      <x:c r="E26" s="42" t="str"/>
      <x:c r="F26" s="42" t="str">
        <x:v>产权证号</x:v>
      </x:c>
      <x:c r="G26" s="42" t="str">
        <x:v>房屋产权证书编号</x:v>
      </x:c>
      <x:c r="H26" s="42" t="str">
        <x:v>高敏</x:v>
      </x:c>
      <x:c r="I26" s="42" t="str">
        <x:v>否</x:v>
      </x:c>
      <x:c r="J26" s="42" t="str">
        <x:v>仅在明确必要时读取并脱敏。</x:v>
      </x:c>
    </x:row>
    <x:row r="27">
      <x:c r="A27" s="42" t="n">
        <x:v>23</x:v>
      </x:c>
      <x:c r="B27" s="42" t="str">
        <x:v>合同信息导出</x:v>
      </x:c>
      <x:c r="C27" s="42" t="str">
        <x:v>合同信息</x:v>
      </x:c>
      <x:c r="D27" s="42" t="str">
        <x:v>有无抵押</x:v>
      </x:c>
      <x:c r="E27" s="42" t="str"/>
      <x:c r="F27" s="42" t="str">
        <x:v>抵押状态</x:v>
      </x:c>
      <x:c r="G27" s="42" t="str">
        <x:v>房屋是否存在抵押</x:v>
      </x:c>
      <x:c r="H27" s="42" t="str">
        <x:v>中敏</x:v>
      </x:c>
      <x:c r="I27" s="42" t="str">
        <x:v>是</x:v>
      </x:c>
      <x:c r="J27" s="42" t="str">
        <x:v>需要客户导出合同信息表。</x:v>
      </x:c>
    </x:row>
    <x:row r="28">
      <x:c r="A28" s="42" t="n">
        <x:v>24</x:v>
      </x:c>
      <x:c r="B28" s="42" t="str">
        <x:v>合同信息导出</x:v>
      </x:c>
      <x:c r="C28" s="42" t="str">
        <x:v>合同信息</x:v>
      </x:c>
      <x:c r="D28" s="42" t="str">
        <x:v>押金金额</x:v>
      </x:c>
      <x:c r="E28" s="42" t="str"/>
      <x:c r="F28" s="42" t="str">
        <x:v>押金金额</x:v>
      </x:c>
      <x:c r="G28" s="42" t="str">
        <x:v>租赁合同押金</x:v>
      </x:c>
      <x:c r="H28" s="42" t="str">
        <x:v>中敏</x:v>
      </x:c>
      <x:c r="I28" s="42" t="str">
        <x:v>否</x:v>
      </x:c>
      <x:c r="J28" s="42" t="str">
        <x:v>直接使用MCP。</x:v>
      </x:c>
    </x:row>
    <x:row r="29">
      <x:c r="A29" s="42" t="n">
        <x:v>25</x:v>
      </x:c>
      <x:c r="B29" s="42" t="str">
        <x:v>合同信息导出</x:v>
      </x:c>
      <x:c r="C29" s="42" t="str">
        <x:v>合同信息</x:v>
      </x:c>
      <x:c r="D29" s="42" t="str">
        <x:v>备注</x:v>
      </x:c>
      <x:c r="E29" s="42" t="str"/>
      <x:c r="F29" s="42" t="str">
        <x:v>合同备注</x:v>
      </x:c>
      <x:c r="G29" s="42" t="str">
        <x:v>合同补充条款、业绩拆分等备注</x:v>
      </x:c>
      <x:c r="H29" s="42" t="str">
        <x:v>高敏</x:v>
      </x:c>
      <x:c r="I29" s="42" t="str">
        <x:v>否</x:v>
      </x:c>
      <x:c r="J29" s="42" t="str">
        <x:v>直接使用MCP，默认避免完整输出。</x:v>
      </x:c>
    </x:row>
    <x:row r="30">
      <x:c r="A30" s="42" t="n">
        <x:v>26</x:v>
      </x:c>
      <x:c r="B30" s="42" t="str">
        <x:v>实收明细导出</x:v>
      </x:c>
      <x:c r="C30" s="42" t="str">
        <x:v>实收明细</x:v>
      </x:c>
      <x:c r="D30" s="42" t="str">
        <x:v>合同编号</x:v>
      </x:c>
      <x:c r="E30" s="42" t="str"/>
      <x:c r="F30" s="42" t="str">
        <x:v>合同编号</x:v>
      </x:c>
      <x:c r="G30" s="42" t="str">
        <x:v>合同编号</x:v>
      </x:c>
      <x:c r="H30" s="42" t="str">
        <x:v>中敏</x:v>
      </x:c>
      <x:c r="I30" s="42" t="str">
        <x:v>否</x:v>
      </x:c>
      <x:c r="J30" s="42" t="str">
        <x:v>直接使用MCP。</x:v>
      </x:c>
    </x:row>
    <x:row r="31">
      <x:c r="A31" s="42" t="n">
        <x:v>27</x:v>
      </x:c>
      <x:c r="B31" s="42" t="str">
        <x:v>实收明细导出</x:v>
      </x:c>
      <x:c r="C31" s="42" t="str">
        <x:v>实收明细</x:v>
      </x:c>
      <x:c r="D31" s="42" t="str">
        <x:v>签约人</x:v>
      </x:c>
      <x:c r="E31" s="42" t="str"/>
      <x:c r="F31" s="42" t="str">
        <x:v>签约人</x:v>
      </x:c>
      <x:c r="G31" s="42" t="str">
        <x:v>合同签约人</x:v>
      </x:c>
      <x:c r="H31" s="42" t="str">
        <x:v>中敏</x:v>
      </x:c>
      <x:c r="I31" s="42" t="str">
        <x:v>否</x:v>
      </x:c>
      <x:c r="J31" s="42" t="str">
        <x:v>直接使用MCP。</x:v>
      </x:c>
    </x:row>
    <x:row r="32">
      <x:c r="A32" s="42" t="n">
        <x:v>28</x:v>
      </x:c>
      <x:c r="B32" s="42" t="str">
        <x:v>实收明细导出</x:v>
      </x:c>
      <x:c r="C32" s="42" t="str">
        <x:v>实收明细</x:v>
      </x:c>
      <x:c r="D32" s="42" t="str">
        <x:v>支付金额</x:v>
      </x:c>
      <x:c r="E32" s="42" t="str"/>
      <x:c r="F32" s="42" t="str">
        <x:v>实收金额</x:v>
      </x:c>
      <x:c r="G32" s="42" t="str">
        <x:v>本笔实际收款金额</x:v>
      </x:c>
      <x:c r="H32" s="42" t="str">
        <x:v>中敏</x:v>
      </x:c>
      <x:c r="I32" s="42" t="str">
        <x:v>否</x:v>
      </x:c>
      <x:c r="J32" s="42" t="str">
        <x:v>直接使用MCP。</x:v>
      </x:c>
    </x:row>
    <x:row r="33">
      <x:c r="A33" s="42" t="n">
        <x:v>29</x:v>
      </x:c>
      <x:c r="B33" s="42" t="str">
        <x:v>实收明细导出</x:v>
      </x:c>
      <x:c r="C33" s="42" t="str">
        <x:v>实收明细</x:v>
      </x:c>
      <x:c r="D33" s="42" t="str">
        <x:v>备注</x:v>
      </x:c>
      <x:c r="E33" s="42" t="str"/>
      <x:c r="F33" s="42" t="str">
        <x:v>实收备注</x:v>
      </x:c>
      <x:c r="G33" s="42" t="str">
        <x:v>本笔实收补充说明</x:v>
      </x:c>
      <x:c r="H33" s="42" t="str">
        <x:v>中敏</x:v>
      </x:c>
      <x:c r="I33" s="42" t="str">
        <x:v>否</x:v>
      </x:c>
      <x:c r="J33" s="42" t="str">
        <x:v>直接使用MCP，按需脱敏。</x:v>
      </x:c>
    </x:row>
    <x:row r="34">
      <x:c r="A34" s="42" t="n">
        <x:v>30</x:v>
      </x:c>
      <x:c r="B34" s="42" t="str">
        <x:v>实收明细导出</x:v>
      </x:c>
      <x:c r="C34" s="42" t="str">
        <x:v>实收明细</x:v>
      </x:c>
      <x:c r="D34" s="42" t="str">
        <x:v>票据号码</x:v>
      </x:c>
      <x:c r="E34" s="42" t="str"/>
      <x:c r="F34" s="42" t="str">
        <x:v>票据号码</x:v>
      </x:c>
      <x:c r="G34" s="42" t="str">
        <x:v>收款票据编号</x:v>
      </x:c>
      <x:c r="H34" s="42" t="str">
        <x:v>中敏</x:v>
      </x:c>
      <x:c r="I34" s="42" t="str">
        <x:v>否</x:v>
      </x:c>
      <x:c r="J34" s="42" t="str">
        <x:v>直接使用MCP。</x:v>
      </x:c>
    </x:row>
    <x:row r="35">
      <x:c r="A35" s="42" t="n">
        <x:v>31</x:v>
      </x:c>
      <x:c r="B35" s="42" t="str">
        <x:v>业绩明细导出</x:v>
      </x:c>
      <x:c r="C35" s="42" t="str">
        <x:v>应收应付</x:v>
      </x:c>
      <x:c r="D35" s="42" t="str">
        <x:v>合同编号</x:v>
      </x:c>
      <x:c r="E35" s="42" t="str"/>
      <x:c r="F35" s="42" t="str">
        <x:v>合同编号</x:v>
      </x:c>
      <x:c r="G35" s="42" t="str">
        <x:v>合同编号</x:v>
      </x:c>
      <x:c r="H35" s="42" t="str">
        <x:v>中敏</x:v>
      </x:c>
      <x:c r="I35" s="42" t="str">
        <x:v>否</x:v>
      </x:c>
      <x:c r="J35" s="42" t="str">
        <x:v>直接使用MCP。</x:v>
      </x:c>
    </x:row>
    <x:row r="36">
      <x:c r="A36" s="42" t="n">
        <x:v>32</x:v>
      </x:c>
      <x:c r="B36" s="42" t="str">
        <x:v>业绩明细导出</x:v>
      </x:c>
      <x:c r="C36" s="42" t="str">
        <x:v>应收应付</x:v>
      </x:c>
      <x:c r="D36" s="42" t="str">
        <x:v>产权地址</x:v>
      </x:c>
      <x:c r="E36" s="42" t="str"/>
      <x:c r="F36" s="42" t="str">
        <x:v>产权地址</x:v>
      </x:c>
      <x:c r="G36" s="42" t="str">
        <x:v>合同房屋完整地址</x:v>
      </x:c>
      <x:c r="H36" s="42" t="str">
        <x:v>高敏</x:v>
      </x:c>
      <x:c r="I36" s="42" t="str">
        <x:v>否</x:v>
      </x:c>
      <x:c r="J36" s="42" t="str">
        <x:v>直接使用MCP，公开输出时脱敏。</x:v>
      </x:c>
    </x:row>
    <x:row r="37">
      <x:c r="A37" s="42" t="n">
        <x:v>33</x:v>
      </x:c>
      <x:c r="B37" s="42" t="str">
        <x:v>业绩明细导出</x:v>
      </x:c>
      <x:c r="C37" s="42" t="str">
        <x:v>应收应付</x:v>
      </x:c>
      <x:c r="D37" s="42" t="str">
        <x:v>房源编号</x:v>
      </x:c>
      <x:c r="E37" s="42" t="str"/>
      <x:c r="F37" s="42" t="str">
        <x:v>房源编号</x:v>
      </x:c>
      <x:c r="G37" s="42" t="str">
        <x:v>ERP房源唯一编号</x:v>
      </x:c>
      <x:c r="H37" s="42" t="str">
        <x:v>中敏</x:v>
      </x:c>
      <x:c r="I37" s="42" t="str">
        <x:v>否</x:v>
      </x:c>
      <x:c r="J37" s="42" t="str">
        <x:v>直接使用MCP。</x:v>
      </x:c>
    </x:row>
    <x:row r="38">
      <x:c r="A38" s="42" t="n">
        <x:v>34</x:v>
      </x:c>
      <x:c r="B38" s="42" t="str">
        <x:v>业绩明细导出</x:v>
      </x:c>
      <x:c r="C38" s="42" t="str">
        <x:v>应收应付</x:v>
      </x:c>
      <x:c r="D38" s="42" t="str">
        <x:v>小区名称门牌号</x:v>
      </x:c>
      <x:c r="E38" s="42" t="str"/>
      <x:c r="F38" s="42" t="str">
        <x:v>小区及门牌</x:v>
      </x:c>
      <x:c r="G38" s="42" t="str">
        <x:v>小区、楼栋、单元、房号组合</x:v>
      </x:c>
      <x:c r="H38" s="42" t="str">
        <x:v>高敏</x:v>
      </x:c>
      <x:c r="I38" s="42" t="str">
        <x:v>否</x:v>
      </x:c>
      <x:c r="J38" s="42" t="str">
        <x:v>直接使用MCP，公开输出时脱敏。</x:v>
      </x:c>
    </x:row>
    <x:row r="39">
      <x:c r="A39" s="42" t="n">
        <x:v>35</x:v>
      </x:c>
      <x:c r="B39" s="42" t="str">
        <x:v>业绩明细导出</x:v>
      </x:c>
      <x:c r="C39" s="42" t="str">
        <x:v>应收应付</x:v>
      </x:c>
      <x:c r="D39" s="42" t="str">
        <x:v>应收金额</x:v>
      </x:c>
      <x:c r="E39" s="42" t="str"/>
      <x:c r="F39" s="42" t="str">
        <x:v>应收金额</x:v>
      </x:c>
      <x:c r="G39" s="42" t="str">
        <x:v>合同应收金额</x:v>
      </x:c>
      <x:c r="H39" s="42" t="str">
        <x:v>中敏</x:v>
      </x:c>
      <x:c r="I39" s="42" t="str">
        <x:v>否</x:v>
      </x:c>
      <x:c r="J39" s="42" t="str">
        <x:v>直接使用MCP。</x:v>
      </x:c>
    </x:row>
    <x:row r="40">
      <x:c r="A40" s="42" t="n">
        <x:v>36</x:v>
      </x:c>
      <x:c r="B40" s="42" t="str">
        <x:v>业绩明细导出</x:v>
      </x:c>
      <x:c r="C40" s="42" t="str">
        <x:v>应收应付</x:v>
      </x:c>
      <x:c r="D40" s="42" t="str">
        <x:v>应付金额</x:v>
      </x:c>
      <x:c r="E40" s="42" t="str"/>
      <x:c r="F40" s="42" t="str">
        <x:v>应付金额</x:v>
      </x:c>
      <x:c r="G40" s="42" t="str">
        <x:v>对应应付科目的金额</x:v>
      </x:c>
      <x:c r="H40" s="42" t="str">
        <x:v>中敏</x:v>
      </x:c>
      <x:c r="I40" s="42" t="str">
        <x:v>否</x:v>
      </x:c>
      <x:c r="J40" s="42" t="str">
        <x:v>直接使用MCP。</x:v>
      </x:c>
    </x:row>
    <x:row r="41">
      <x:c r="A41" s="42" t="n">
        <x:v>37</x:v>
      </x:c>
      <x:c r="B41" s="42" t="str">
        <x:v>业绩明细导出</x:v>
      </x:c>
      <x:c r="C41" s="42" t="str">
        <x:v>业绩分配</x:v>
      </x:c>
      <x:c r="D41" s="42" t="str">
        <x:v>合同编号</x:v>
      </x:c>
      <x:c r="E41" s="42" t="str"/>
      <x:c r="F41" s="42" t="str">
        <x:v>合同编号</x:v>
      </x:c>
      <x:c r="G41" s="42" t="str">
        <x:v>合同编号</x:v>
      </x:c>
      <x:c r="H41" s="42" t="str">
        <x:v>中敏</x:v>
      </x:c>
      <x:c r="I41" s="42" t="str">
        <x:v>否</x:v>
      </x:c>
      <x:c r="J41" s="42" t="str">
        <x:v>直接使用MCP。</x:v>
      </x:c>
    </x:row>
    <x:row r="42">
      <x:c r="A42" s="42" t="n">
        <x:v>38</x:v>
      </x:c>
      <x:c r="B42" s="42" t="str">
        <x:v>业绩明细导出</x:v>
      </x:c>
      <x:c r="C42" s="42" t="str">
        <x:v>业绩分配</x:v>
      </x:c>
      <x:c r="D42" s="42" t="str">
        <x:v>产权地址</x:v>
      </x:c>
      <x:c r="E42" s="42" t="str"/>
      <x:c r="F42" s="42" t="str">
        <x:v>产权地址</x:v>
      </x:c>
      <x:c r="G42" s="42" t="str">
        <x:v>合同房屋完整地址</x:v>
      </x:c>
      <x:c r="H42" s="42" t="str">
        <x:v>高敏</x:v>
      </x:c>
      <x:c r="I42" s="42" t="str">
        <x:v>否</x:v>
      </x:c>
      <x:c r="J42" s="42" t="str">
        <x:v>直接使用MCP，公开输出时脱敏。</x:v>
      </x:c>
    </x:row>
    <x:row r="43">
      <x:c r="A43" s="42" t="n">
        <x:v>39</x:v>
      </x:c>
      <x:c r="B43" s="42" t="str">
        <x:v>业绩明细导出</x:v>
      </x:c>
      <x:c r="C43" s="42" t="str">
        <x:v>业绩分配</x:v>
      </x:c>
      <x:c r="D43" s="42" t="str">
        <x:v>房源编号</x:v>
      </x:c>
      <x:c r="E43" s="42" t="str"/>
      <x:c r="F43" s="42" t="str">
        <x:v>房源编号</x:v>
      </x:c>
      <x:c r="G43" s="42" t="str">
        <x:v>ERP房源唯一编号</x:v>
      </x:c>
      <x:c r="H43" s="42" t="str">
        <x:v>中敏</x:v>
      </x:c>
      <x:c r="I43" s="42" t="str">
        <x:v>否</x:v>
      </x:c>
      <x:c r="J43" s="42" t="str">
        <x:v>直接使用MCP。</x:v>
      </x:c>
    </x:row>
    <x:row r="44">
      <x:c r="A44" s="42" t="n">
        <x:v>40</x:v>
      </x:c>
      <x:c r="B44" s="42" t="str">
        <x:v>业绩明细导出</x:v>
      </x:c>
      <x:c r="C44" s="42" t="str">
        <x:v>业绩分配</x:v>
      </x:c>
      <x:c r="D44" s="42" t="str">
        <x:v>小区名称门牌号</x:v>
      </x:c>
      <x:c r="E44" s="42" t="str"/>
      <x:c r="F44" s="42" t="str">
        <x:v>小区及门牌</x:v>
      </x:c>
      <x:c r="G44" s="42" t="str">
        <x:v>小区、楼栋、单元、房号组合</x:v>
      </x:c>
      <x:c r="H44" s="42" t="str">
        <x:v>高敏</x:v>
      </x:c>
      <x:c r="I44" s="42" t="str">
        <x:v>否</x:v>
      </x:c>
      <x:c r="J44" s="42" t="str">
        <x:v>直接使用MCP，公开输出时脱敏。</x:v>
      </x:c>
    </x:row>
    <x:row r="45">
      <x:c r="A45" s="42" t="n">
        <x:v>41</x:v>
      </x:c>
      <x:c r="B45" s="42" t="str">
        <x:v>业绩明细导出</x:v>
      </x:c>
      <x:c r="C45" s="42" t="str">
        <x:v>业绩分配</x:v>
      </x:c>
      <x:c r="D45" s="42" t="str">
        <x:v>经纪人</x:v>
      </x:c>
      <x:c r="E45" s="42" t="str"/>
      <x:c r="F45" s="42" t="str">
        <x:v>业绩人员</x:v>
      </x:c>
      <x:c r="G45" s="42" t="str">
        <x:v>获得该条业绩分配的人员</x:v>
      </x:c>
      <x:c r="H45" s="42" t="str">
        <x:v>中敏</x:v>
      </x:c>
      <x:c r="I45" s="42" t="str">
        <x:v>否</x:v>
      </x:c>
      <x:c r="J45" s="42" t="str">
        <x:v>直接使用MCP。</x:v>
      </x:c>
    </x:row>
    <x:row r="46">
      <x:c r="A46" s="42" t="n">
        <x:v>42</x:v>
      </x:c>
      <x:c r="B46" s="42" t="str">
        <x:v>业绩明细导出</x:v>
      </x:c>
      <x:c r="C46" s="42" t="str">
        <x:v>业绩分配</x:v>
      </x:c>
      <x:c r="D46" s="42" t="str">
        <x:v>分配业绩</x:v>
      </x:c>
      <x:c r="E46" s="42" t="str"/>
      <x:c r="F46" s="42" t="str">
        <x:v>分配金额</x:v>
      </x:c>
      <x:c r="G46" s="42" t="str">
        <x:v>该人员获得的业绩金额</x:v>
      </x:c>
      <x:c r="H46" s="42" t="str">
        <x:v>中敏</x:v>
      </x:c>
      <x:c r="I46" s="42" t="str">
        <x:v>否</x:v>
      </x:c>
      <x:c r="J46" s="42" t="str">
        <x:v>直接使用MCP。</x:v>
      </x:c>
    </x:row>
    <x:row r="47">
      <x:c r="A47" s="42" t="n">
        <x:v>43</x:v>
      </x:c>
      <x:c r="B47" s="42" t="str">
        <x:v>业绩明细导出</x:v>
      </x:c>
      <x:c r="C47" s="42" t="str">
        <x:v>业绩分配</x:v>
      </x:c>
      <x:c r="D47" s="42" t="str">
        <x:v>总实收佣金</x:v>
      </x:c>
      <x:c r="E47" s="42" t="str"/>
      <x:c r="F47" s="42" t="str">
        <x:v>合同总实收佣金</x:v>
      </x:c>
      <x:c r="G47" s="42" t="str">
        <x:v>该合同累计实收佣金</x:v>
      </x:c>
      <x:c r="H47" s="42" t="str">
        <x:v>中敏</x:v>
      </x:c>
      <x:c r="I47" s="42" t="str">
        <x:v>可选</x:v>
      </x:c>
      <x:c r="J47" s="42" t="str">
        <x:v>优先用实收明细按合同类型+合同编号汇总；需要与导出字段完全核对时可导出。</x:v>
      </x:c>
    </x:row>
    <x:row r="48">
      <x:c r="A48" s="42" t="n">
        <x:v>44</x:v>
      </x:c>
      <x:c r="B48" s="42" t="str">
        <x:v>业绩明细导出</x:v>
      </x:c>
      <x:c r="C48" s="42" t="str">
        <x:v>业绩分配</x:v>
      </x:c>
      <x:c r="D48" s="42" t="str">
        <x:v>总实收业绩</x:v>
      </x:c>
      <x:c r="E48" s="42" t="str"/>
      <x:c r="F48" s="42" t="str">
        <x:v>实收业绩</x:v>
      </x:c>
      <x:c r="G48" s="42" t="str">
        <x:v>该条分配对应的已实收业绩</x:v>
      </x:c>
      <x:c r="H48" s="42" t="str">
        <x:v>中敏</x:v>
      </x:c>
      <x:c r="I48" s="42" t="str">
        <x:v>是</x:v>
      </x:c>
      <x:c r="J48" s="42" t="str">
        <x:v>需要客户导出业绩分配表。</x:v>
      </x:c>
    </x:row>
    <x:row r="49">
      <x:c r="A49" s="42" t="n">
        <x:v>45</x:v>
      </x:c>
      <x:c r="B49" s="42" t="str">
        <x:v>业绩明细导出</x:v>
      </x:c>
      <x:c r="C49" s="42" t="str">
        <x:v>业绩分配</x:v>
      </x:c>
      <x:c r="D49" s="42" t="str">
        <x:v>备注</x:v>
      </x:c>
      <x:c r="E49" s="42" t="str"/>
      <x:c r="F49" s="42" t="str">
        <x:v>业绩备注</x:v>
      </x:c>
      <x:c r="G49" s="42" t="str">
        <x:v>业绩分配补充说明</x:v>
      </x:c>
      <x:c r="H49" s="42" t="str">
        <x:v>中敏</x:v>
      </x:c>
      <x:c r="I49" s="42" t="str">
        <x:v>否</x:v>
      </x:c>
      <x:c r="J49" s="42" t="str">
        <x:v>直接使用MCP，按需脱敏。</x:v>
      </x:c>
    </x:row>
    <x:row r="50">
      <x:c r="A50" s="42" t="n">
        <x:v>46</x:v>
      </x:c>
      <x:c r="B50" s="42" t="str">
        <x:v>人员信息导出</x:v>
      </x:c>
      <x:c r="C50" s="42" t="str">
        <x:v>汇总</x:v>
      </x:c>
      <x:c r="D50" s="42" t="str">
        <x:v>人数</x:v>
      </x:c>
      <x:c r="E50" s="42" t="str"/>
      <x:c r="F50" s="42" t="str">
        <x:v>在册人数</x:v>
      </x:c>
      <x:c r="G50" s="42" t="str">
        <x:v>该组织节点下的人员数量</x:v>
      </x:c>
      <x:c r="H50" s="42" t="str">
        <x:v>中敏</x:v>
      </x:c>
      <x:c r="I50" s="42" t="str">
        <x:v>是</x:v>
      </x:c>
      <x:c r="J50" s="42" t="str">
        <x:v>必须导出人员信息汇总或人员列表后统计。</x:v>
      </x:c>
    </x:row>
    <x:row r="51">
      <x:c r="A51" s="42" t="n">
        <x:v>47</x:v>
      </x:c>
      <x:c r="B51" s="42" t="str">
        <x:v>人员信息导出</x:v>
      </x:c>
      <x:c r="C51" s="42" t="str">
        <x:v>人员列表</x:v>
      </x:c>
      <x:c r="D51" s="42" t="str">
        <x:v>职能</x:v>
      </x:c>
      <x:c r="E51" s="42" t="str"/>
      <x:c r="F51" s="42" t="str">
        <x:v>职能</x:v>
      </x:c>
      <x:c r="G51" s="42" t="str">
        <x:v>员工业务职能</x:v>
      </x:c>
      <x:c r="H51" s="42" t="str">
        <x:v>中敏</x:v>
      </x:c>
      <x:c r="I51" s="42" t="str">
        <x:v>是</x:v>
      </x:c>
      <x:c r="J51" s="42" t="str">
        <x:v>必须导出人员列表。</x:v>
      </x:c>
    </x:row>
    <x:row r="52">
      <x:c r="A52" s="42" t="n">
        <x:v>48</x:v>
      </x:c>
      <x:c r="B52" s="42" t="str">
        <x:v>人员信息导出</x:v>
      </x:c>
      <x:c r="C52" s="42" t="str">
        <x:v>人员列表</x:v>
      </x:c>
      <x:c r="D52" s="42" t="str">
        <x:v>姓名</x:v>
      </x:c>
      <x:c r="E52" s="42" t="str"/>
      <x:c r="F52" s="42" t="str">
        <x:v>员工姓名</x:v>
      </x:c>
      <x:c r="G52" s="42" t="str">
        <x:v>员工姓名</x:v>
      </x:c>
      <x:c r="H52" s="42" t="str">
        <x:v>中敏</x:v>
      </x:c>
      <x:c r="I52" s="42" t="str">
        <x:v>按需</x:v>
      </x:c>
      <x:c r="J52" s="42" t="str">
        <x:v>MCP可返回业务相关人员姓名，但不能形成全量员工名册。</x:v>
      </x:c>
    </x:row>
    <x:row r="53">
      <x:c r="A53" s="42" t="n">
        <x:v>49</x:v>
      </x:c>
      <x:c r="B53" s="42" t="str">
        <x:v>人员信息导出</x:v>
      </x:c>
      <x:c r="C53" s="42" t="str">
        <x:v>人员列表</x:v>
      </x:c>
      <x:c r="D53" s="42" t="str">
        <x:v>性别</x:v>
      </x:c>
      <x:c r="E53" s="42" t="str"/>
      <x:c r="F53" s="42" t="str">
        <x:v>性别</x:v>
      </x:c>
      <x:c r="G53" s="42" t="str">
        <x:v>员工性别</x:v>
      </x:c>
      <x:c r="H53" s="42" t="str">
        <x:v>高敏</x:v>
      </x:c>
      <x:c r="I53" s="42" t="str">
        <x:v>是</x:v>
      </x:c>
      <x:c r="J53" s="42" t="str">
        <x:v>仅在业务确有必要时导出并限制使用。</x:v>
      </x:c>
    </x:row>
    <x:row r="54">
      <x:c r="A54" s="42" t="n">
        <x:v>50</x:v>
      </x:c>
      <x:c r="B54" s="42" t="str">
        <x:v>人员信息导出</x:v>
      </x:c>
      <x:c r="C54" s="42" t="str">
        <x:v>人员列表</x:v>
      </x:c>
      <x:c r="D54" s="42" t="str">
        <x:v>岗位</x:v>
      </x:c>
      <x:c r="E54" s="42" t="str"/>
      <x:c r="F54" s="42" t="str">
        <x:v>岗位</x:v>
      </x:c>
      <x:c r="G54" s="42" t="str">
        <x:v>员工岗位名称</x:v>
      </x:c>
      <x:c r="H54" s="42" t="str">
        <x:v>中敏</x:v>
      </x:c>
      <x:c r="I54" s="42" t="str">
        <x:v>是</x:v>
      </x:c>
      <x:c r="J54" s="42" t="str">
        <x:v>必须导出人员列表。</x:v>
      </x:c>
    </x:row>
    <x:row r="55">
      <x:c r="A55" s="42" t="n">
        <x:v>51</x:v>
      </x:c>
      <x:c r="B55" s="42" t="str">
        <x:v>人员信息导出</x:v>
      </x:c>
      <x:c r="C55" s="42" t="str">
        <x:v>人员列表</x:v>
      </x:c>
      <x:c r="D55" s="42" t="str">
        <x:v>电话</x:v>
      </x:c>
      <x:c r="E55" s="42" t="str"/>
      <x:c r="F55" s="42" t="str">
        <x:v>手机号</x:v>
      </x:c>
      <x:c r="G55" s="42" t="str">
        <x:v>员工联系电话</x:v>
      </x:c>
      <x:c r="H55" s="42" t="str">
        <x:v>高敏</x:v>
      </x:c>
      <x:c r="I55" s="42" t="str">
        <x:v>是</x:v>
      </x:c>
      <x:c r="J55" s="42" t="str">
        <x:v>仅在确有必要时导出，默认脱敏。</x:v>
      </x:c>
    </x:row>
    <x:row r="56">
      <x:c r="A56" s="42" t="n">
        <x:v>52</x:v>
      </x:c>
      <x:c r="B56" s="42" t="str">
        <x:v>人员信息导出</x:v>
      </x:c>
      <x:c r="C56" s="42" t="str">
        <x:v>人员列表</x:v>
      </x:c>
      <x:c r="D56" s="42" t="str">
        <x:v>离职</x:v>
      </x:c>
      <x:c r="E56" s="42" t="str"/>
      <x:c r="F56" s="42" t="str">
        <x:v>离职状态</x:v>
      </x:c>
      <x:c r="G56" s="42" t="str">
        <x:v>员工是否离职</x:v>
      </x:c>
      <x:c r="H56" s="42" t="str">
        <x:v>高敏</x:v>
      </x:c>
      <x:c r="I56" s="42" t="str">
        <x:v>是</x:v>
      </x:c>
      <x:c r="J56" s="42" t="str">
        <x:v>人均、在职率、离职后业绩等需求必须导出。</x:v>
      </x:c>
    </x:row>
    <x:row r="57">
      <x:c r="A57" s="42" t="n">
        <x:v>53</x:v>
      </x:c>
      <x:c r="B57" s="42" t="str">
        <x:v>人员信息导出</x:v>
      </x:c>
      <x:c r="C57" s="42" t="str">
        <x:v>人员列表</x:v>
      </x:c>
      <x:c r="D57" s="42" t="str">
        <x:v>离职时间</x:v>
      </x:c>
      <x:c r="E57" s="42" t="str"/>
      <x:c r="F57" s="42" t="str">
        <x:v>离职时间</x:v>
      </x:c>
      <x:c r="G57" s="42" t="str">
        <x:v>员工离职日期</x:v>
      </x:c>
      <x:c r="H57" s="42" t="str">
        <x:v>高敏</x:v>
      </x:c>
      <x:c r="I57" s="42" t="str">
        <x:v>是</x:v>
      </x:c>
      <x:c r="J57" s="42" t="str">
        <x:v>人均指标按时间点计算时必须使用。</x:v>
      </x:c>
    </x:row>
    <x:row r="58">
      <x:c r="A58" s="42" t="n">
        <x:v>54</x:v>
      </x:c>
      <x:c r="B58" s="42" t="str">
        <x:v>人员信息导出</x:v>
      </x:c>
      <x:c r="C58" s="42" t="str">
        <x:v>人员列表</x:v>
      </x:c>
      <x:c r="D58" s="42" t="str">
        <x:v>冻结</x:v>
      </x:c>
      <x:c r="E58" s="42" t="str"/>
      <x:c r="F58" s="42" t="str">
        <x:v>冻结状态</x:v>
      </x:c>
      <x:c r="G58" s="42" t="str">
        <x:v>账号是否冻结</x:v>
      </x:c>
      <x:c r="H58" s="42" t="str">
        <x:v>中敏</x:v>
      </x:c>
      <x:c r="I58" s="42" t="str">
        <x:v>是</x:v>
      </x:c>
      <x:c r="J58" s="42" t="str">
        <x:v>必须导出人员列表。</x:v>
      </x:c>
    </x:row>
    <x:row r="59">
      <x:c r="A59" s="42" t="n">
        <x:v>55</x:v>
      </x:c>
      <x:c r="B59" s="42" t="str">
        <x:v>人员信息导出</x:v>
      </x:c>
      <x:c r="C59" s="42" t="str">
        <x:v>人员列表</x:v>
      </x:c>
      <x:c r="D59" s="42" t="str">
        <x:v>冻结时间</x:v>
      </x:c>
      <x:c r="E59" s="42" t="str"/>
      <x:c r="F59" s="42" t="str">
        <x:v>冻结时间</x:v>
      </x:c>
      <x:c r="G59" s="42" t="str">
        <x:v>账号冻结时间</x:v>
      </x:c>
      <x:c r="H59" s="42" t="str">
        <x:v>中敏</x:v>
      </x:c>
      <x:c r="I59" s="42" t="str">
        <x:v>是</x:v>
      </x:c>
      <x:c r="J59" s="42" t="str">
        <x:v>必须导出人员列表。</x:v>
      </x:c>
    </x:row>
    <x:row r="60">
      <x:c r="A60" s="42" t="n">
        <x:v>56</x:v>
      </x:c>
      <x:c r="B60" s="42" t="str">
        <x:v>人员信息导出</x:v>
      </x:c>
      <x:c r="C60" s="42" t="str">
        <x:v>人员列表</x:v>
      </x:c>
      <x:c r="D60" s="42" t="str">
        <x:v>最近登录时间</x:v>
      </x:c>
      <x:c r="E60" s="42" t="str"/>
      <x:c r="F60" s="42" t="str">
        <x:v>最近登录时间</x:v>
      </x:c>
      <x:c r="G60" s="42" t="str">
        <x:v>员工最近登录ERP时间</x:v>
      </x:c>
      <x:c r="H60" s="42" t="str">
        <x:v>中敏</x:v>
      </x:c>
      <x:c r="I60" s="42" t="str">
        <x:v>是</x:v>
      </x:c>
      <x:c r="J60" s="42" t="str">
        <x:v>活跃账号分析需要导出。</x:v>
      </x:c>
    </x:row>
    <x:row r="61">
      <x:c r="A61" s="42" t="n">
        <x:v>57</x:v>
      </x:c>
      <x:c r="B61" s="42" t="str">
        <x:v>人员信息导出</x:v>
      </x:c>
      <x:c r="C61" s="42" t="str">
        <x:v>人员列表</x:v>
      </x:c>
      <x:c r="D61" s="42" t="str">
        <x:v>提成方案</x:v>
      </x:c>
      <x:c r="E61" s="42" t="str"/>
      <x:c r="F61" s="42" t="str">
        <x:v>提成方案</x:v>
      </x:c>
      <x:c r="G61" s="42" t="str">
        <x:v>员工适用的提成方案</x:v>
      </x:c>
      <x:c r="H61" s="42" t="str">
        <x:v>高敏</x:v>
      </x:c>
      <x:c r="I61" s="42" t="str">
        <x:v>是</x:v>
      </x:c>
      <x:c r="J61" s="42" t="str">
        <x:v>仅在授权的薪酬分析场景导出。</x:v>
      </x:c>
    </x:row>
    <x:row r="62">
      <x:c r="A62" s="42" t="n">
        <x:v>58</x:v>
      </x:c>
      <x:c r="B62" s="42" t="str">
        <x:v>人员信息导出</x:v>
      </x:c>
      <x:c r="C62" s="42" t="str">
        <x:v>人员列表</x:v>
      </x:c>
      <x:c r="D62" s="42" t="str">
        <x:v>身份证号</x:v>
      </x:c>
      <x:c r="E62" s="42" t="str"/>
      <x:c r="F62" s="42" t="str">
        <x:v>身份证号</x:v>
      </x:c>
      <x:c r="G62" s="42" t="str">
        <x:v>员工证件号码</x:v>
      </x:c>
      <x:c r="H62" s="42" t="str">
        <x:v>高敏</x:v>
      </x:c>
      <x:c r="I62" s="42" t="str">
        <x:v>是</x:v>
      </x:c>
      <x:c r="J62" s="42" t="str">
        <x:v>原则上不应为一般经营分析导出；确需使用必须脱敏。</x:v>
      </x:c>
    </x:row>
    <x:row r="63">
      <x:c r="A63" s="42" t="n">
        <x:v>59</x:v>
      </x:c>
      <x:c r="B63" s="42" t="str">
        <x:v>人员信息导出</x:v>
      </x:c>
      <x:c r="C63" s="42" t="str">
        <x:v>人员列表</x:v>
      </x:c>
      <x:c r="D63" s="42" t="str">
        <x:v>工号</x:v>
      </x:c>
      <x:c r="E63" s="42" t="str"/>
      <x:c r="F63" s="42" t="str">
        <x:v>工号</x:v>
      </x:c>
      <x:c r="G63" s="42" t="str">
        <x:v>员工内部工号</x:v>
      </x:c>
      <x:c r="H63" s="42" t="str">
        <x:v>中敏</x:v>
      </x:c>
      <x:c r="I63" s="42" t="str">
        <x:v>是</x:v>
      </x:c>
      <x:c r="J63" s="42" t="str">
        <x:v>建议作为人员主键之一导出。</x:v>
      </x:c>
    </x:row>
    <x:row r="64">
      <x:c r="A64" s="42" t="n">
        <x:v>60</x:v>
      </x:c>
      <x:c r="B64" s="42" t="str">
        <x:v>人员信息导出</x:v>
      </x:c>
      <x:c r="C64" s="42" t="str">
        <x:v>人员列表</x:v>
      </x:c>
      <x:c r="D64" s="42" t="str">
        <x:v>入职日期</x:v>
      </x:c>
      <x:c r="E64" s="42" t="str"/>
      <x:c r="F64" s="42" t="str">
        <x:v>入职日期</x:v>
      </x:c>
      <x:c r="G64" s="42" t="str">
        <x:v>员工入职日期</x:v>
      </x:c>
      <x:c r="H64" s="42" t="str">
        <x:v>高敏</x:v>
      </x:c>
      <x:c r="I64" s="42" t="str">
        <x:v>是</x:v>
      </x:c>
      <x:c r="J64" s="42" t="str">
        <x:v>在职人数、司龄、人均产能分析需要导出。</x:v>
      </x:c>
    </x:row>
    <x:row r="65">
      <x:c r="A65" s="42" t="n">
        <x:v>61</x:v>
      </x:c>
      <x:c r="B65" s="42" t="str">
        <x:v>人员信息导出</x:v>
      </x:c>
      <x:c r="C65" s="42" t="str">
        <x:v>人员列表</x:v>
      </x:c>
      <x:c r="D65" s="42" t="str">
        <x:v>出生日期</x:v>
      </x:c>
      <x:c r="E65" s="42" t="str"/>
      <x:c r="F65" s="42" t="str">
        <x:v>出生日期</x:v>
      </x:c>
      <x:c r="G65" s="42" t="str">
        <x:v>员工出生日期</x:v>
      </x:c>
      <x:c r="H65" s="42" t="str">
        <x:v>高敏</x:v>
      </x:c>
      <x:c r="I65" s="42" t="str">
        <x:v>是</x:v>
      </x:c>
      <x:c r="J65" s="42" t="str">
        <x:v>一般经营分析不建议导出。</x:v>
      </x:c>
    </x:row>
    <x:row r="66">
      <x:c r="A66" s="42" t="n">
        <x:v>62</x:v>
      </x:c>
      <x:c r="B66" s="42" t="str">
        <x:v>人员信息导出</x:v>
      </x:c>
      <x:c r="C66" s="42" t="str">
        <x:v>人员列表</x:v>
      </x:c>
      <x:c r="D66" s="42" t="str">
        <x:v>招聘渠道</x:v>
      </x:c>
      <x:c r="E66" s="42" t="str"/>
      <x:c r="F66" s="42" t="str">
        <x:v>招聘渠道</x:v>
      </x:c>
      <x:c r="G66" s="42" t="str">
        <x:v>员工来源招聘渠道</x:v>
      </x:c>
      <x:c r="H66" s="42" t="str">
        <x:v>高敏</x:v>
      </x:c>
      <x:c r="I66" s="42" t="str">
        <x:v>是</x:v>
      </x:c>
      <x:c r="J66" s="42" t="str">
        <x:v>招聘效果分析需要导出。</x:v>
      </x:c>
    </x:row>
    <x:row r="67">
      <x:c r="A67" s="42" t="n">
        <x:v>63</x:v>
      </x:c>
      <x:c r="B67" s="42" t="str">
        <x:v>人员信息导出</x:v>
      </x:c>
      <x:c r="C67" s="42" t="str">
        <x:v>人员列表</x:v>
      </x:c>
      <x:c r="D67" s="42" t="str">
        <x:v>推荐人</x:v>
      </x:c>
      <x:c r="E67" s="42" t="str"/>
      <x:c r="F67" s="42" t="str">
        <x:v>推荐人</x:v>
      </x:c>
      <x:c r="G67" s="42" t="str">
        <x:v>内部推荐人</x:v>
      </x:c>
      <x:c r="H67" s="42" t="str">
        <x:v>高敏</x:v>
      </x:c>
      <x:c r="I67" s="42" t="str">
        <x:v>是</x:v>
      </x:c>
      <x:c r="J67" s="42" t="str">
        <x:v>推荐招聘分析需要导出。</x:v>
      </x:c>
    </x:row>
    <x:row r="68">
      <x:c r="A68" s="42" t="n">
        <x:v>64</x:v>
      </x:c>
      <x:c r="B68" s="42" t="str">
        <x:v>人员信息导出</x:v>
      </x:c>
      <x:c r="C68" s="42" t="str">
        <x:v>人员列表</x:v>
      </x:c>
      <x:c r="D68" s="42" t="str">
        <x:v>籍贯</x:v>
      </x:c>
      <x:c r="E68" s="42" t="str"/>
      <x:c r="F68" s="42" t="str">
        <x:v>籍贯</x:v>
      </x:c>
      <x:c r="G68" s="42" t="str">
        <x:v>员工籍贯</x:v>
      </x:c>
      <x:c r="H68" s="42" t="str">
        <x:v>高敏</x:v>
      </x:c>
      <x:c r="I68" s="42" t="str">
        <x:v>是</x:v>
      </x:c>
      <x:c r="J68" s="42" t="str">
        <x:v>一般经营分析不建议导出。</x:v>
      </x:c>
    </x:row>
    <x:row r="69">
      <x:c r="A69" s="42" t="n">
        <x:v>65</x:v>
      </x:c>
      <x:c r="B69" s="42" t="str">
        <x:v>人员信息导出</x:v>
      </x:c>
      <x:c r="C69" s="42" t="str">
        <x:v>人员列表</x:v>
      </x:c>
      <x:c r="D69" s="42" t="str">
        <x:v>民族</x:v>
      </x:c>
      <x:c r="E69" s="42" t="str"/>
      <x:c r="F69" s="42" t="str">
        <x:v>民族</x:v>
      </x:c>
      <x:c r="G69" s="42" t="str">
        <x:v>员工民族信息</x:v>
      </x:c>
      <x:c r="H69" s="42" t="str">
        <x:v>高敏</x:v>
      </x:c>
      <x:c r="I69" s="42" t="str">
        <x:v>是</x:v>
      </x:c>
      <x:c r="J69" s="42" t="str">
        <x:v>非必要不得导出或分析。</x:v>
      </x:c>
    </x:row>
    <x:row r="70">
      <x:c r="A70" s="42" t="n">
        <x:v>66</x:v>
      </x:c>
      <x:c r="B70" s="42" t="str">
        <x:v>人员信息导出</x:v>
      </x:c>
      <x:c r="C70" s="42" t="str">
        <x:v>人员列表</x:v>
      </x:c>
      <x:c r="D70" s="42" t="str">
        <x:v>婚姻状况</x:v>
      </x:c>
      <x:c r="E70" s="42" t="str"/>
      <x:c r="F70" s="42" t="str">
        <x:v>婚姻状况</x:v>
      </x:c>
      <x:c r="G70" s="42" t="str">
        <x:v>员工婚姻状态</x:v>
      </x:c>
      <x:c r="H70" s="42" t="str">
        <x:v>高敏</x:v>
      </x:c>
      <x:c r="I70" s="42" t="str">
        <x:v>是</x:v>
      </x:c>
      <x:c r="J70" s="42" t="str">
        <x:v>非必要不得导出或分析。</x:v>
      </x:c>
    </x:row>
    <x:row r="71">
      <x:c r="A71" s="42" t="n">
        <x:v>67</x:v>
      </x:c>
      <x:c r="B71" s="42" t="str">
        <x:v>人员信息导出</x:v>
      </x:c>
      <x:c r="C71" s="42" t="str">
        <x:v>人员列表</x:v>
      </x:c>
      <x:c r="D71" s="42" t="str">
        <x:v>政治面貌</x:v>
      </x:c>
      <x:c r="E71" s="42" t="str"/>
      <x:c r="F71" s="42" t="str">
        <x:v>政治面貌</x:v>
      </x:c>
      <x:c r="G71" s="42" t="str">
        <x:v>员工政治面貌</x:v>
      </x:c>
      <x:c r="H71" s="42" t="str">
        <x:v>高敏</x:v>
      </x:c>
      <x:c r="I71" s="42" t="str">
        <x:v>是</x:v>
      </x:c>
      <x:c r="J71" s="42" t="str">
        <x:v>非必要不得导出或分析。</x:v>
      </x:c>
    </x:row>
    <x:row r="72">
      <x:c r="A72" s="42" t="n">
        <x:v>68</x:v>
      </x:c>
      <x:c r="B72" s="42" t="str">
        <x:v>人员信息导出</x:v>
      </x:c>
      <x:c r="C72" s="42" t="str">
        <x:v>人员列表</x:v>
      </x:c>
      <x:c r="D72" s="42" t="str">
        <x:v>最高学历</x:v>
      </x:c>
      <x:c r="E72" s="42" t="str"/>
      <x:c r="F72" s="42" t="str">
        <x:v>最高学历</x:v>
      </x:c>
      <x:c r="G72" s="42" t="str">
        <x:v>员工最高学历</x:v>
      </x:c>
      <x:c r="H72" s="42" t="str">
        <x:v>高敏</x:v>
      </x:c>
      <x:c r="I72" s="42" t="str">
        <x:v>是</x:v>
      </x:c>
      <x:c r="J72" s="42" t="str">
        <x:v>人才结构分析需要导出。</x:v>
      </x:c>
    </x:row>
    <x:row r="73">
      <x:c r="A73" s="42" t="n">
        <x:v>69</x:v>
      </x:c>
      <x:c r="B73" s="42" t="str">
        <x:v>人员信息导出</x:v>
      </x:c>
      <x:c r="C73" s="42" t="str">
        <x:v>人员列表</x:v>
      </x:c>
      <x:c r="D73" s="42" t="str">
        <x:v>毕业年份</x:v>
      </x:c>
      <x:c r="E73" s="42" t="str"/>
      <x:c r="F73" s="42" t="str">
        <x:v>毕业年份</x:v>
      </x:c>
      <x:c r="G73" s="42" t="str">
        <x:v>最高学历毕业年份</x:v>
      </x:c>
      <x:c r="H73" s="42" t="str">
        <x:v>中敏</x:v>
      </x:c>
      <x:c r="I73" s="42" t="str">
        <x:v>是</x:v>
      </x:c>
      <x:c r="J73" s="42" t="str">
        <x:v>人才结构分析需要导出。</x:v>
      </x:c>
    </x:row>
    <x:row r="74">
      <x:c r="A74" s="42" t="n">
        <x:v>70</x:v>
      </x:c>
      <x:c r="B74" s="42" t="str">
        <x:v>人员信息导出</x:v>
      </x:c>
      <x:c r="C74" s="42" t="str">
        <x:v>人员列表</x:v>
      </x:c>
      <x:c r="D74" s="42" t="str">
        <x:v>毕业院校</x:v>
      </x:c>
      <x:c r="E74" s="42" t="str"/>
      <x:c r="F74" s="42" t="str">
        <x:v>毕业院校</x:v>
      </x:c>
      <x:c r="G74" s="42" t="str">
        <x:v>员工毕业院校</x:v>
      </x:c>
      <x:c r="H74" s="42" t="str">
        <x:v>高敏</x:v>
      </x:c>
      <x:c r="I74" s="42" t="str">
        <x:v>是</x:v>
      </x:c>
      <x:c r="J74" s="42" t="str">
        <x:v>人才结构分析需要导出。</x:v>
      </x:c>
    </x:row>
    <x:row r="75">
      <x:c r="A75" s="42" t="n">
        <x:v>71</x:v>
      </x:c>
      <x:c r="B75" s="42" t="str">
        <x:v>人员信息导出</x:v>
      </x:c>
      <x:c r="C75" s="42" t="str">
        <x:v>人员列表</x:v>
      </x:c>
      <x:c r="D75" s="42" t="str">
        <x:v>专业</x:v>
      </x:c>
      <x:c r="E75" s="42" t="str"/>
      <x:c r="F75" s="42" t="str">
        <x:v>专业</x:v>
      </x:c>
      <x:c r="G75" s="42" t="str">
        <x:v>员工所学专业</x:v>
      </x:c>
      <x:c r="H75" s="42" t="str">
        <x:v>高敏</x:v>
      </x:c>
      <x:c r="I75" s="42" t="str">
        <x:v>是</x:v>
      </x:c>
      <x:c r="J75" s="42" t="str">
        <x:v>人才结构分析需要导出。</x:v>
      </x:c>
    </x:row>
    <x:row r="76">
      <x:c r="A76" s="42" t="n">
        <x:v>72</x:v>
      </x:c>
      <x:c r="B76" s="42" t="str">
        <x:v>人员信息导出</x:v>
      </x:c>
      <x:c r="C76" s="42" t="str">
        <x:v>人员列表</x:v>
      </x:c>
      <x:c r="D76" s="42" t="str">
        <x:v>银行卡号</x:v>
      </x:c>
      <x:c r="E76" s="42" t="str"/>
      <x:c r="F76" s="42" t="str">
        <x:v>银行卡号</x:v>
      </x:c>
      <x:c r="G76" s="42" t="str">
        <x:v>员工工资或结算银行卡号</x:v>
      </x:c>
      <x:c r="H76" s="42" t="str">
        <x:v>高敏</x:v>
      </x:c>
      <x:c r="I76" s="42" t="str">
        <x:v>是</x:v>
      </x:c>
      <x:c r="J76" s="42" t="str">
        <x:v>禁止用于一般经营分析；确需处理必须严格授权和脱敏。</x:v>
      </x:c>
    </x:row>
    <x:row r="77">
      <x:c r="A77" s="42" t="n">
        <x:v>73</x:v>
      </x:c>
      <x:c r="B77" s="42" t="str">
        <x:v>人员信息导出</x:v>
      </x:c>
      <x:c r="C77" s="42" t="str">
        <x:v>人员列表</x:v>
      </x:c>
      <x:c r="D77" s="42" t="str">
        <x:v>开户银行</x:v>
      </x:c>
      <x:c r="E77" s="42" t="str"/>
      <x:c r="F77" s="42" t="str">
        <x:v>开户银行</x:v>
      </x:c>
      <x:c r="G77" s="42" t="str">
        <x:v>银行卡开户银行</x:v>
      </x:c>
      <x:c r="H77" s="42" t="str">
        <x:v>高敏</x:v>
      </x:c>
      <x:c r="I77" s="42" t="str">
        <x:v>是</x:v>
      </x:c>
      <x:c r="J77" s="42" t="str">
        <x:v>非薪酬结算场景不要导出。</x:v>
      </x:c>
    </x:row>
    <x:row r="78">
      <x:c r="A78" s="42" t="n">
        <x:v>74</x:v>
      </x:c>
      <x:c r="B78" s="42" t="str">
        <x:v>人员信息导出</x:v>
      </x:c>
      <x:c r="C78" s="42" t="str">
        <x:v>人员列表</x:v>
      </x:c>
      <x:c r="D78" s="42" t="str">
        <x:v>社保账户</x:v>
      </x:c>
      <x:c r="E78" s="42" t="str"/>
      <x:c r="F78" s="42" t="str">
        <x:v>社保账户</x:v>
      </x:c>
      <x:c r="G78" s="42" t="str">
        <x:v>员工社保账户信息</x:v>
      </x:c>
      <x:c r="H78" s="42" t="str">
        <x:v>高敏</x:v>
      </x:c>
      <x:c r="I78" s="42" t="str">
        <x:v>是</x:v>
      </x:c>
      <x:c r="J78" s="42" t="str">
        <x:v>非必要不得导出。</x:v>
      </x:c>
    </x:row>
    <x:row r="79">
      <x:c r="A79" s="42" t="n">
        <x:v>75</x:v>
      </x:c>
      <x:c r="B79" s="42" t="str">
        <x:v>人员信息导出</x:v>
      </x:c>
      <x:c r="C79" s="42" t="str">
        <x:v>人员列表</x:v>
      </x:c>
      <x:c r="D79" s="42" t="str">
        <x:v>公积金号</x:v>
      </x:c>
      <x:c r="E79" s="42" t="str"/>
      <x:c r="F79" s="42" t="str">
        <x:v>公积金账号</x:v>
      </x:c>
      <x:c r="G79" s="42" t="str">
        <x:v>员工公积金账号</x:v>
      </x:c>
      <x:c r="H79" s="42" t="str">
        <x:v>高敏</x:v>
      </x:c>
      <x:c r="I79" s="42" t="str">
        <x:v>是</x:v>
      </x:c>
      <x:c r="J79" s="42" t="str">
        <x:v>非必要不得导出。</x:v>
      </x:c>
    </x:row>
    <x:row r="80">
      <x:c r="A80" s="42" t="n">
        <x:v>76</x:v>
      </x:c>
      <x:c r="B80" s="42" t="str">
        <x:v>人员信息导出</x:v>
      </x:c>
      <x:c r="C80" s="42" t="str">
        <x:v>人员列表</x:v>
      </x:c>
      <x:c r="D80" s="42" t="str">
        <x:v>QQ</x:v>
      </x:c>
      <x:c r="E80" s="42" t="str"/>
      <x:c r="F80" s="42" t="str">
        <x:v>QQ</x:v>
      </x:c>
      <x:c r="G80" s="42" t="str">
        <x:v>员工QQ联系方式</x:v>
      </x:c>
      <x:c r="H80" s="42" t="str">
        <x:v>高敏</x:v>
      </x:c>
      <x:c r="I80" s="42" t="str">
        <x:v>是</x:v>
      </x:c>
      <x:c r="J80" s="42" t="str">
        <x:v>一般经营分析不建议导出。</x:v>
      </x:c>
    </x:row>
    <x:row r="81">
      <x:c r="A81" s="42" t="n">
        <x:v>77</x:v>
      </x:c>
      <x:c r="B81" s="42" t="str">
        <x:v>人员信息导出</x:v>
      </x:c>
      <x:c r="C81" s="42" t="str">
        <x:v>人员列表</x:v>
      </x:c>
      <x:c r="D81" s="42" t="str">
        <x:v>微信</x:v>
      </x:c>
      <x:c r="E81" s="42" t="str"/>
      <x:c r="F81" s="42" t="str">
        <x:v>微信</x:v>
      </x:c>
      <x:c r="G81" s="42" t="str">
        <x:v>员工微信联系方式</x:v>
      </x:c>
      <x:c r="H81" s="42" t="str">
        <x:v>高敏</x:v>
      </x:c>
      <x:c r="I81" s="42" t="str">
        <x:v>是</x:v>
      </x:c>
      <x:c r="J81" s="42" t="str">
        <x:v>一般经营分析不建议导出。</x:v>
      </x:c>
    </x:row>
    <x:row r="82">
      <x:c r="A82" s="42" t="n">
        <x:v>78</x:v>
      </x:c>
      <x:c r="B82" s="42" t="str">
        <x:v>人员信息导出</x:v>
      </x:c>
      <x:c r="C82" s="42" t="str">
        <x:v>人员列表</x:v>
      </x:c>
      <x:c r="D82" s="42" t="str">
        <x:v>电子邮箱</x:v>
      </x:c>
      <x:c r="E82" s="42" t="str"/>
      <x:c r="F82" s="42" t="str">
        <x:v>电子邮箱</x:v>
      </x:c>
      <x:c r="G82" s="42" t="str">
        <x:v>员工电子邮箱</x:v>
      </x:c>
      <x:c r="H82" s="42" t="str">
        <x:v>高敏</x:v>
      </x:c>
      <x:c r="I82" s="42" t="str">
        <x:v>是</x:v>
      </x:c>
      <x:c r="J82" s="42" t="str">
        <x:v>按需导出并脱敏。</x:v>
      </x:c>
    </x:row>
    <x:row r="83">
      <x:c r="A83" s="42" t="n">
        <x:v>79</x:v>
      </x:c>
      <x:c r="B83" s="42" t="str">
        <x:v>人员信息导出</x:v>
      </x:c>
      <x:c r="C83" s="42" t="str">
        <x:v>人员列表</x:v>
      </x:c>
      <x:c r="D83" s="42" t="str">
        <x:v>备用电话</x:v>
      </x:c>
      <x:c r="E83" s="42" t="str"/>
      <x:c r="F83" s="42" t="str">
        <x:v>备用电话</x:v>
      </x:c>
      <x:c r="G83" s="42" t="str">
        <x:v>员工备用联系电话</x:v>
      </x:c>
      <x:c r="H83" s="42" t="str">
        <x:v>高敏</x:v>
      </x:c>
      <x:c r="I83" s="42" t="str">
        <x:v>是</x:v>
      </x:c>
      <x:c r="J83" s="42" t="str">
        <x:v>非必要不得导出。</x:v>
      </x:c>
    </x:row>
    <x:row r="84">
      <x:c r="A84" s="42" t="n">
        <x:v>80</x:v>
      </x:c>
      <x:c r="B84" s="42" t="str">
        <x:v>人员信息导出</x:v>
      </x:c>
      <x:c r="C84" s="42" t="str">
        <x:v>人员列表</x:v>
      </x:c>
      <x:c r="D84" s="42" t="str">
        <x:v>现居地址</x:v>
      </x:c>
      <x:c r="E84" s="42" t="str"/>
      <x:c r="F84" s="42" t="str">
        <x:v>现居地址</x:v>
      </x:c>
      <x:c r="G84" s="42" t="str">
        <x:v>员工当前居住地址</x:v>
      </x:c>
      <x:c r="H84" s="42" t="str">
        <x:v>高敏</x:v>
      </x:c>
      <x:c r="I84" s="42" t="str">
        <x:v>是</x:v>
      </x:c>
      <x:c r="J84" s="42" t="str">
        <x:v>非必要不得导出。</x:v>
      </x:c>
    </x:row>
    <x:row r="85">
      <x:c r="A85" s="42" t="n">
        <x:v>81</x:v>
      </x:c>
      <x:c r="B85" s="42" t="str">
        <x:v>人员信息导出</x:v>
      </x:c>
      <x:c r="C85" s="42" t="str">
        <x:v>人员列表</x:v>
      </x:c>
      <x:c r="D85" s="42" t="str">
        <x:v>户口地址</x:v>
      </x:c>
      <x:c r="E85" s="42" t="str"/>
      <x:c r="F85" s="42" t="str">
        <x:v>户口地址</x:v>
      </x:c>
      <x:c r="G85" s="42" t="str">
        <x:v>员工户籍地址</x:v>
      </x:c>
      <x:c r="H85" s="42" t="str">
        <x:v>高敏</x:v>
      </x:c>
      <x:c r="I85" s="42" t="str">
        <x:v>是</x:v>
      </x:c>
      <x:c r="J85" s="42" t="str">
        <x:v>非必要不得导出。</x:v>
      </x:c>
    </x:row>
    <x:row r="86">
      <x:c r="A86" s="42" t="n">
        <x:v>82</x:v>
      </x:c>
      <x:c r="B86" s="42" t="str">
        <x:v>人员信息导出</x:v>
      </x:c>
      <x:c r="C86" s="42" t="str">
        <x:v>人员列表</x:v>
      </x:c>
      <x:c r="D86" s="42" t="str">
        <x:v>紧急联系人</x:v>
      </x:c>
      <x:c r="E86" s="42" t="str"/>
      <x:c r="F86" s="42" t="str">
        <x:v>紧急联系人</x:v>
      </x:c>
      <x:c r="G86" s="42" t="str">
        <x:v>员工紧急联系人姓名</x:v>
      </x:c>
      <x:c r="H86" s="42" t="str">
        <x:v>高敏</x:v>
      </x:c>
      <x:c r="I86" s="42" t="str">
        <x:v>是</x:v>
      </x:c>
      <x:c r="J86" s="42" t="str">
        <x:v>非必要不得导出。</x:v>
      </x:c>
    </x:row>
    <x:row r="87">
      <x:c r="A87" s="42" t="n">
        <x:v>83</x:v>
      </x:c>
      <x:c r="B87" s="42" t="str">
        <x:v>人员信息导出</x:v>
      </x:c>
      <x:c r="C87" s="42" t="str">
        <x:v>人员列表</x:v>
      </x:c>
      <x:c r="D87" s="42" t="str">
        <x:v>紧急联系电话</x:v>
      </x:c>
      <x:c r="E87" s="42" t="str"/>
      <x:c r="F87" s="42" t="str">
        <x:v>紧急联系电话</x:v>
      </x:c>
      <x:c r="G87" s="42" t="str">
        <x:v>员工紧急联系人电话</x:v>
      </x:c>
      <x:c r="H87" s="42" t="str">
        <x:v>高敏</x:v>
      </x:c>
      <x:c r="I87" s="42" t="str">
        <x:v>是</x:v>
      </x:c>
      <x:c r="J87" s="42" t="str">
        <x:v>非必要不得导出。</x:v>
      </x:c>
    </x:row>
    <x:row r="88">
      <x:c r="A88" s="42" t="n">
        <x:v>84</x:v>
      </x:c>
      <x:c r="B88" s="42" t="str">
        <x:v>人员信息导出</x:v>
      </x:c>
      <x:c r="C88" s="42" t="str">
        <x:v>人员列表</x:v>
      </x:c>
      <x:c r="D88" s="42" t="str">
        <x:v>技能证书</x:v>
      </x:c>
      <x:c r="E88" s="42" t="str"/>
      <x:c r="F88" s="42" t="str">
        <x:v>技能证书</x:v>
      </x:c>
      <x:c r="G88" s="42" t="str">
        <x:v>员工持有的专业技能证书</x:v>
      </x:c>
      <x:c r="H88" s="42" t="str">
        <x:v>中敏</x:v>
      </x:c>
      <x:c r="I88" s="42" t="str">
        <x:v>是</x:v>
      </x:c>
      <x:c r="J88" s="42" t="str">
        <x:v>人才盘点需要导出。</x:v>
      </x:c>
    </x:row>
    <x:row r="89">
      <x:c r="A89" s="42" t="n">
        <x:v>85</x:v>
      </x:c>
      <x:c r="B89" s="42" t="str">
        <x:v>人员信息导出</x:v>
      </x:c>
      <x:c r="C89" s="42" t="str">
        <x:v>人员列表</x:v>
      </x:c>
      <x:c r="D89" s="42" t="str">
        <x:v>荣誉奖项</x:v>
      </x:c>
      <x:c r="E89" s="42" t="str"/>
      <x:c r="F89" s="42" t="str">
        <x:v>荣誉奖项</x:v>
      </x:c>
      <x:c r="G89" s="42" t="str">
        <x:v>员工获得的荣誉</x:v>
      </x:c>
      <x:c r="H89" s="42" t="str">
        <x:v>中敏</x:v>
      </x:c>
      <x:c r="I89" s="42" t="str">
        <x:v>是</x:v>
      </x:c>
      <x:c r="J89" s="42" t="str">
        <x:v>人才盘点需要导出。</x:v>
      </x:c>
    </x:row>
    <x:row r="90">
      <x:c r="A90" s="42" t="n">
        <x:v>86</x:v>
      </x:c>
      <x:c r="B90" s="42" t="str">
        <x:v>人员信息导出</x:v>
      </x:c>
      <x:c r="C90" s="42" t="str">
        <x:v>人员列表</x:v>
      </x:c>
      <x:c r="D90" s="42" t="str">
        <x:v>兴趣爱好</x:v>
      </x:c>
      <x:c r="E90" s="42" t="str"/>
      <x:c r="F90" s="42" t="str">
        <x:v>兴趣爱好</x:v>
      </x:c>
      <x:c r="G90" s="42" t="str">
        <x:v>员工兴趣爱好</x:v>
      </x:c>
      <x:c r="H90" s="42" t="str">
        <x:v>高敏</x:v>
      </x:c>
      <x:c r="I90" s="42" t="str">
        <x:v>是</x:v>
      </x:c>
      <x:c r="J90" s="42" t="str">
        <x:v>一般经营分析不建议导出。</x:v>
      </x:c>
    </x:row>
    <x:row r="91">
      <x:c r="A91" s="43" t="n">
        <x:v>87</x:v>
      </x:c>
      <x:c r="B91" s="43" t="str">
        <x:v>人员信息导出</x:v>
      </x:c>
      <x:c r="C91" s="43" t="str">
        <x:v>人员列表</x:v>
      </x:c>
      <x:c r="D91" s="43" t="str">
        <x:v>备注</x:v>
      </x:c>
      <x:c r="E91" s="43" t="str"/>
      <x:c r="F91" s="43" t="str">
        <x:v>人员备注</x:v>
      </x:c>
      <x:c r="G91" s="43" t="str">
        <x:v>人员档案补充说明</x:v>
      </x:c>
      <x:c r="H91" s="43" t="str">
        <x:v>高敏</x:v>
      </x:c>
      <x:c r="I91" s="43" t="str">
        <x:v>是</x:v>
      </x:c>
      <x:c r="J91" s="43" t="str">
        <x:v>仅在明确业务必要时导出。</x:v>
      </x:c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J1"/>
    <x:mergeCell ref="A2:J2"/>
  </x:mergeCells>
  <x:conditionalFormatting sqref="H5:H91">
    <x:cfRule type="expression" dxfId="7" priority="1">
      <x:formula>H5="高敏"</x:formula>
    </x:cfRule>
    <x:cfRule type="expression" dxfId="8" priority="2">
      <x:formula>H5="中敏"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d6e32efb794db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28" customHeight="1">
      <x:c r="A1" s="74" t="str">
        <x:v>可直接写入 Skill 的通用规则</x:v>
      </x:c>
      <x:c r="B1" s="5"/>
    </x:row>
    <x:row r="2" ht="36" customHeight="1">
      <x:c r="A2" s="75" t="str">
        <x:v>所有规则均使用通用表名与字段名，不依赖任何具体公司。可作为Skill.md中的强制逻辑和导出指令模板。</x:v>
      </x:c>
      <x:c r="B2" s="13"/>
    </x:row>
    <x:row r="3">
      <x:c r="A3" s="76"/>
    </x:row>
    <x:row r="4" ht="32" customHeight="1">
      <x:c r="A4" s="77" t="str">
        <x:v>场景</x:v>
      </x:c>
      <x:c r="B4" s="27" t="str">
        <x:v>可复用规则</x:v>
      </x:c>
    </x:row>
    <x:row r="5">
      <x:c r="A5" s="42" t="str">
        <x:v>工具选择</x:v>
      </x:c>
      <x:c r="B5" s="42" t="str">
        <x:v>统计指标优先使用 queryRptData；具体合同、财务、业绩和付款明细使用 queryContractFinanceData；房源和小区行情使用对应房源/小区工具。</x:v>
      </x:c>
    </x:row>
    <x:row r="6">
      <x:c r="A6" s="42" t="str">
        <x:v>导出触发</x:v>
      </x:c>
      <x:c r="B6" s="42" t="str">
        <x:v>只有在MCP字段缺失、组织层级不明确、状态枚举不可解释、统计与明细无法对齐时，才要求客户导出表格。</x:v>
      </x:c>
    </x:row>
    <x:row r="7">
      <x:c r="A7" s="42" t="str">
        <x:v>导出指令模板</x:v>
      </x:c>
      <x:c r="B7" s="42" t="str">
        <x:v>请导出【表格名称】，筛选【明确日期字段】从【开始日期】到【结束日期】，并保留【所需字段】；不要额外提供身份证、银行卡、详细地址等无关敏感字段。</x:v>
      </x:c>
    </x:row>
    <x:row r="8">
      <x:c r="A8" s="42" t="str">
        <x:v>合同匹配</x:v>
      </x:c>
      <x:c r="B8" s="42" t="str">
        <x:v>所有合同表统一用“合同类型 + 合同编号”匹配；合同编号先去首尾空格并按文本保存。</x:v>
      </x:c>
    </x:row>
    <x:row r="9">
      <x:c r="A9" s="42" t="str">
        <x:v>人员匹配</x:v>
      </x:c>
      <x:c r="B9" s="42" t="str">
        <x:v>优先用工号；MCP没有工号时，用姓名与组织字段联合匹配，并输出同名/未匹配清单。</x:v>
      </x:c>
    </x:row>
    <x:row r="10">
      <x:c r="A10" s="42" t="str">
        <x:v>口径说明</x:v>
      </x:c>
      <x:c r="B10" s="42" t="str">
        <x:v>输出必须标明数据来源、查询/导出时间范围、日期口径、是否拆分查询、是否存在统计与明细差异。</x:v>
      </x:c>
    </x:row>
    <x:row r="11">
      <x:c r="A11" s="42" t="str">
        <x:v>隐私保护</x:v>
      </x:c>
      <x:c r="B11" s="42" t="str">
        <x:v>默认不展示完整证件号、电话、银行卡、社保、公积金、详细地址、紧急联系人及自由备注中的敏感内容。</x:v>
      </x:c>
    </x:row>
    <x:row r="12">
      <x:c r="A12" s="42" t="str">
        <x:v>不可推断</x:v>
      </x:c>
      <x:c r="B12" s="42" t="str">
        <x:v>不得把deptName直接解释为门店或小组；不得把总实收业绩等同于分配业绩；不得擅自解释status=0/1。</x:v>
      </x:c>
    </x:row>
    <x:row r="13">
      <x:c r="A13" s="43" t="str">
        <x:v>通用公司</x:v>
      </x:c>
      <x:c r="B13" s="43" t="str">
        <x:v>所有规则使用通用表名和字段名，不出现任何具体公司、部门、人员或示例数据。</x:v>
      </x:c>
    </x:row>
    <x:row r="14">
      <x:c r="A14" s="108" t="str">
        <x:v>文件识别</x:v>
      </x:c>
      <x:c r="B14" s="108" t="str">
        <x:v>不要依赖文件名、公司名前缀或默认工作表名；按“文件识别规则”中的表头特征识别模块。</x:v>
      </x:c>
    </x:row>
    <x:row r="15">
      <x:c r="A15" s="108" t="str">
        <x:v>字段存在校验</x:v>
      </x:c>
      <x:c r="B15" s="108" t="str">
        <x:v>执行分析前先检查所需字段是否真实存在；禁止使用不存在的别名字段替代原始列。</x:v>
      </x:c>
    </x:row>
    <x:row r="16">
      <x:c r="A16" s="108" t="str">
        <x:v>一对多合并</x:v>
      </x:c>
      <x:c r="B16" s="108" t="str">
        <x:v>合同信息为主表；应收应付、业绩分配、实收、付款均可能一对多。多个子表必须先聚合到目标粒度，再连接主表。</x:v>
      </x:c>
    </x:row>
    <x:row r="17">
      <x:c r="A17" s="108" t="str">
        <x:v>应收防重</x:v>
      </x:c>
      <x:c r="B17" s="108" t="str">
        <x:v>应收应付表中的应收金额可能随不同应付科目重复，按合同键+应收科目去重后再汇总。</x:v>
      </x:c>
    </x:row>
    <x:row r="18">
      <x:c r="A18" s="108" t="str">
        <x:v>业绩防重</x:v>
      </x:c>
      <x:c r="B18" s="108" t="str">
        <x:v>业绩分配表中的总实收佣金可能在每个分配行重复，按合同键+应收科目去重；总实收业绩按唯一分配行汇总。</x:v>
      </x:c>
    </x:row>
    <x:row r="19">
      <x:c r="A19" s="108" t="str">
        <x:v>人员状态</x:v>
      </x:c>
      <x:c r="B19" s="108" t="str">
        <x:v>源表使用离职/冻结字段，不得虚构“在职”列；在职状态应由明确规则推导，并在输出中说明。</x:v>
      </x:c>
    </x:row>
    <x:row r="20">
      <x:c r="A20" s="108" t="str">
        <x:v>房源参数</x:v>
      </x:c>
      <x:c r="B20" s="108" t="str">
        <x:v>houseTypes、towards、decoration、floorRanges 按字符串数组传参；periodRanges 表示满两年等年限特色，periodUniq 表示满五唯一。</x:v>
      </x:c>
    </x:row>
    <x:row r="21">
      <x:c r="A21" s="108" t="str">
        <x:v>Excel引用</x:v>
      </x:c>
      <x:c r="B21" s="108" t="str">
        <x:v>Excel仅作为人工维护与审计版本；Skill运行时优先读取SKILL.md、详细TXT和TSV字段矩阵。</x:v>
      </x:c>
    </x:row>
    <x:row r="22">
      <x:c r="A22" s="76"/>
    </x:row>
    <x:row r="23">
      <x:c r="A23" s="76"/>
    </x:row>
    <x:row r="24">
      <x:c r="A24" s="76"/>
    </x:row>
    <x:row r="25">
      <x:c r="A25" s="76"/>
    </x:row>
    <x:row r="26">
      <x:c r="A26" s="76"/>
    </x:row>
    <x:row r="27">
      <x:c r="A27" s="76"/>
    </x:row>
    <x:row r="28">
      <x:c r="A28" s="76"/>
    </x:row>
    <x:row r="29">
      <x:c r="A29" s="76"/>
    </x:row>
    <x:row r="30">
      <x:c r="A30" s="76"/>
    </x:row>
    <x:row r="31">
      <x:c r="A31" s="76"/>
    </x:row>
    <x:row r="32">
      <x:c r="A32" s="76"/>
    </x:row>
    <x:row r="33">
      <x:c r="A33" s="76"/>
    </x:row>
    <x:row r="34">
      <x:c r="A34" s="76"/>
    </x:row>
    <x:row r="35">
      <x:c r="A35" s="76"/>
    </x:row>
    <x:row r="36">
      <x:c r="A36" s="76"/>
    </x:row>
    <x:row r="37">
      <x:c r="A37" s="76"/>
    </x:row>
    <x:row r="38">
      <x:c r="A38" s="76"/>
    </x:row>
    <x:row r="39">
      <x:c r="A39" s="76"/>
    </x:row>
    <x:row r="40">
      <x:c r="A40" s="76"/>
    </x:row>
    <x:row r="41">
      <x:c r="A41" s="76"/>
    </x:row>
    <x:row r="42">
      <x:c r="A42" s="76"/>
    </x:row>
    <x:row r="43">
      <x:c r="A43" s="76"/>
    </x:row>
    <x:row r="44">
      <x:c r="A44" s="76"/>
    </x:row>
    <x:row r="45">
      <x:c r="A45" s="76"/>
    </x:row>
    <x:row r="46">
      <x:c r="A46" s="76"/>
    </x:row>
    <x:row r="47">
      <x:c r="A47" s="76"/>
    </x:row>
    <x:row r="48">
      <x:c r="A48" s="76"/>
    </x:row>
    <x:row r="49">
      <x:c r="A49" s="76"/>
    </x:row>
    <x:row r="50">
      <x:c r="A50" s="76"/>
    </x:row>
    <x:row r="51">
      <x:c r="A51" s="76"/>
    </x:row>
    <x:row r="52">
      <x:c r="A52" s="76"/>
    </x:row>
    <x:row r="53">
      <x:c r="A53" s="76"/>
    </x:row>
    <x:row r="54">
      <x:c r="A54" s="76"/>
    </x:row>
    <x:row r="55">
      <x:c r="A55" s="76"/>
    </x:row>
    <x:row r="56">
      <x:c r="A56" s="76"/>
    </x:row>
    <x:row r="57">
      <x:c r="A57" s="76"/>
    </x:row>
    <x:row r="58">
      <x:c r="A58" s="76"/>
    </x:row>
    <x:row r="59">
      <x:c r="A59" s="76"/>
    </x:row>
    <x:row r="60">
      <x:c r="A60" s="76"/>
    </x:row>
    <x:row r="61">
      <x:c r="A61" s="76"/>
    </x:row>
    <x:row r="62">
      <x:c r="A62" s="76"/>
    </x:row>
    <x:row r="63">
      <x:c r="A63" s="76"/>
    </x:row>
    <x:row r="64">
      <x:c r="A64" s="76"/>
    </x:row>
    <x:row r="65">
      <x:c r="A65" s="76"/>
    </x:row>
    <x:row r="66">
      <x:c r="A66" s="76"/>
    </x:row>
    <x:row r="67">
      <x:c r="A67" s="76"/>
    </x:row>
    <x:row r="68">
      <x:c r="A68" s="76"/>
    </x:row>
    <x:row r="69">
      <x:c r="A69" s="76"/>
    </x:row>
    <x:row r="70">
      <x:c r="A70" s="76"/>
    </x:row>
    <x:row r="71">
      <x:c r="A71" s="76"/>
    </x:row>
    <x:row r="72">
      <x:c r="A72" s="76"/>
    </x:row>
    <x:row r="73">
      <x:c r="A73" s="76"/>
    </x:row>
    <x:row r="74">
      <x:c r="A74" s="76"/>
    </x:row>
    <x:row r="75">
      <x:c r="A75" s="76"/>
    </x:row>
    <x:row r="76">
      <x:c r="A76" s="76"/>
    </x:row>
    <x:row r="77">
      <x:c r="A77" s="76"/>
    </x:row>
    <x:row r="78">
      <x:c r="A78" s="76"/>
    </x:row>
    <x:row r="79">
      <x:c r="A79" s="76"/>
    </x:row>
    <x:row r="80">
      <x:c r="A80" s="76"/>
    </x:row>
    <x:row r="81">
      <x:c r="A81" s="76"/>
    </x:row>
    <x:row r="82">
      <x:c r="A82" s="76"/>
    </x:row>
    <x:row r="83">
      <x:c r="A83" s="76"/>
    </x:row>
    <x:row r="84">
      <x:c r="A84" s="76"/>
    </x:row>
    <x:row r="85">
      <x:c r="A85" s="76"/>
    </x:row>
    <x:row r="86">
      <x:c r="A86" s="76"/>
    </x:row>
    <x:row r="87">
      <x:c r="A87" s="76"/>
    </x:row>
    <x:row r="88">
      <x:c r="A88" s="76"/>
    </x:row>
    <x:row r="89">
      <x:c r="A89" s="76"/>
    </x:row>
    <x:row r="90">
      <x:c r="A90" s="76"/>
    </x:row>
    <x:row r="91">
      <x:c r="A91" s="76"/>
    </x:row>
    <x:row r="92">
      <x:c r="A92" s="76"/>
    </x:row>
    <x:row r="93">
      <x:c r="A93" s="76"/>
    </x:row>
    <x:row r="94">
      <x:c r="A94" s="76"/>
    </x:row>
    <x:row r="95">
      <x:c r="A95" s="76"/>
    </x:row>
    <x:row r="96">
      <x:c r="A96" s="76"/>
    </x:row>
    <x:row r="97">
      <x:c r="A97" s="76"/>
    </x:row>
    <x:row r="98">
      <x:c r="A98" s="76"/>
    </x:row>
    <x:row r="99">
      <x:c r="A99" s="76"/>
    </x:row>
    <x:row r="100">
      <x:c r="A100" s="76"/>
    </x:row>
    <x:row r="101">
      <x:c r="A101" s="76"/>
    </x:row>
    <x:row r="102">
      <x:c r="A102" s="76"/>
    </x:row>
    <x:row r="103">
      <x:c r="A103" s="76"/>
    </x:row>
    <x:row r="104">
      <x:c r="A104" s="76"/>
    </x:row>
    <x:row r="105">
      <x:c r="A105" s="76"/>
    </x:row>
    <x:row r="106">
      <x:c r="A106" s="76"/>
    </x:row>
    <x:row r="107">
      <x:c r="A107" s="76"/>
    </x:row>
    <x:row r="108">
      <x:c r="A108" s="76"/>
    </x:row>
    <x:row r="109">
      <x:c r="A109" s="76"/>
    </x:row>
    <x:row r="110">
      <x:c r="A110" s="76"/>
    </x:row>
    <x:row r="111">
      <x:c r="A111" s="76"/>
    </x:row>
    <x:row r="112">
      <x:c r="A112" s="76"/>
    </x:row>
    <x:row r="113">
      <x:c r="A113" s="76"/>
    </x:row>
    <x:row r="114">
      <x:c r="A114" s="76"/>
    </x:row>
    <x:row r="115">
      <x:c r="A115" s="76"/>
    </x:row>
    <x:row r="116">
      <x:c r="A116" s="76"/>
    </x:row>
    <x:row r="117">
      <x:c r="A117" s="76"/>
    </x:row>
    <x:row r="118">
      <x:c r="A118" s="76"/>
    </x:row>
    <x:row r="119">
      <x:c r="A119" s="76"/>
    </x:row>
    <x:row r="120">
      <x:c r="A120" s="76"/>
    </x:row>
    <x:row r="121">
      <x:c r="A121" s="76"/>
    </x:row>
    <x:row r="122">
      <x:c r="A122" s="76"/>
    </x:row>
    <x:row r="123">
      <x:c r="A123" s="76"/>
    </x:row>
    <x:row r="124">
      <x:c r="A124" s="76"/>
    </x:row>
    <x:row r="125">
      <x:c r="A125" s="76"/>
    </x:row>
    <x:row r="126">
      <x:c r="A126" s="76"/>
    </x:row>
    <x:row r="127">
      <x:c r="A127" s="76"/>
    </x:row>
    <x:row r="128">
      <x:c r="A128" s="76"/>
    </x:row>
    <x:row r="129">
      <x:c r="A129" s="76"/>
    </x:row>
    <x:row r="130">
      <x:c r="A130" s="76"/>
    </x:row>
    <x:row r="131">
      <x:c r="A131" s="76"/>
    </x:row>
    <x:row r="132">
      <x:c r="A132" s="76"/>
    </x:row>
    <x:row r="133">
      <x:c r="A133" s="76"/>
    </x:row>
    <x:row r="134">
      <x:c r="A134" s="76"/>
    </x:row>
    <x:row r="135">
      <x:c r="A135" s="76"/>
    </x:row>
    <x:row r="136">
      <x:c r="A136" s="76"/>
    </x:row>
    <x:row r="137">
      <x:c r="A137" s="76"/>
    </x:row>
    <x:row r="138">
      <x:c r="A138" s="76"/>
    </x:row>
    <x:row r="139">
      <x:c r="A139" s="76"/>
    </x:row>
    <x:row r="140">
      <x:c r="A140" s="76"/>
    </x:row>
    <x:row r="141">
      <x:c r="A141" s="76"/>
    </x:row>
    <x:row r="142">
      <x:c r="A142" s="76"/>
    </x:row>
    <x:row r="143">
      <x:c r="A143" s="76"/>
    </x:row>
    <x:row r="144">
      <x:c r="A144" s="76"/>
    </x:row>
    <x:row r="145">
      <x:c r="A145" s="76"/>
    </x:row>
    <x:row r="146">
      <x:c r="A146" s="76"/>
    </x:row>
    <x:row r="147">
      <x:c r="A147" s="76"/>
    </x:row>
    <x:row r="148">
      <x:c r="A148" s="76"/>
    </x:row>
    <x:row r="149">
      <x:c r="A149" s="76"/>
    </x:row>
    <x:row r="150">
      <x:c r="A150" s="76"/>
    </x:row>
    <x:row r="151">
      <x:c r="A151" s="76"/>
    </x:row>
    <x:row r="152">
      <x:c r="A152" s="76"/>
    </x:row>
    <x:row r="153">
      <x:c r="A153" s="76"/>
    </x:row>
    <x:row r="154">
      <x:c r="A154" s="76"/>
    </x:row>
    <x:row r="155">
      <x:c r="A155" s="76"/>
    </x:row>
    <x:row r="156">
      <x:c r="A156" s="76"/>
    </x:row>
    <x:row r="157">
      <x:c r="A157" s="76"/>
    </x:row>
    <x:row r="158">
      <x:c r="A158" s="76"/>
    </x:row>
    <x:row r="159">
      <x:c r="A159" s="76"/>
    </x:row>
    <x:row r="160">
      <x:c r="A160" s="76"/>
    </x:row>
    <x:row r="161">
      <x:c r="A161" s="76"/>
    </x:row>
    <x:row r="162">
      <x:c r="A162" s="76"/>
    </x:row>
    <x:row r="163">
      <x:c r="A163" s="76"/>
    </x:row>
    <x:row r="164">
      <x:c r="A164" s="76"/>
    </x:row>
    <x:row r="165">
      <x:c r="A165" s="76"/>
    </x:row>
    <x:row r="166">
      <x:c r="A166" s="76"/>
    </x:row>
    <x:row r="167">
      <x:c r="A167" s="76"/>
    </x:row>
    <x:row r="168">
      <x:c r="A168" s="76"/>
    </x:row>
    <x:row r="169">
      <x:c r="A169" s="76"/>
    </x:row>
    <x:row r="170">
      <x:c r="A170" s="76"/>
    </x:row>
    <x:row r="171">
      <x:c r="A171" s="76"/>
    </x:row>
    <x:row r="172">
      <x:c r="A172" s="76"/>
    </x:row>
    <x:row r="173">
      <x:c r="A173" s="76"/>
    </x:row>
    <x:row r="174">
      <x:c r="A174" s="76"/>
    </x:row>
    <x:row r="175">
      <x:c r="A175" s="76"/>
    </x:row>
    <x:row r="176">
      <x:c r="A176" s="76"/>
    </x:row>
    <x:row r="177">
      <x:c r="A177" s="76"/>
    </x:row>
    <x:row r="178">
      <x:c r="A178" s="76"/>
    </x:row>
    <x:row r="179">
      <x:c r="A179" s="76"/>
    </x:row>
    <x:row r="180">
      <x:c r="A180" s="76"/>
    </x:row>
    <x:row r="181">
      <x:c r="A181" s="76"/>
    </x:row>
    <x:row r="182">
      <x:c r="A182" s="76"/>
    </x:row>
    <x:row r="183">
      <x:c r="A183" s="76"/>
    </x:row>
    <x:row r="184">
      <x:c r="A184" s="76"/>
    </x:row>
    <x:row r="185">
      <x:c r="A185" s="76"/>
    </x:row>
    <x:row r="186">
      <x:c r="A186" s="76"/>
    </x:row>
    <x:row r="187">
      <x:c r="A187" s="76"/>
    </x:row>
    <x:row r="188">
      <x:c r="A188" s="76"/>
    </x:row>
    <x:row r="189">
      <x:c r="A189" s="76"/>
    </x:row>
    <x:row r="190">
      <x:c r="A190" s="76"/>
    </x:row>
    <x:row r="191">
      <x:c r="A191" s="76"/>
    </x:row>
    <x:row r="192">
      <x:c r="A192" s="76"/>
    </x:row>
    <x:row r="193">
      <x:c r="A193" s="76"/>
    </x:row>
    <x:row r="194">
      <x:c r="A194" s="76"/>
    </x:row>
    <x:row r="195">
      <x:c r="A195" s="76"/>
    </x:row>
    <x:row r="196">
      <x:c r="A196" s="76"/>
    </x:row>
    <x:row r="197">
      <x:c r="A197" s="76"/>
    </x:row>
    <x:row r="198">
      <x:c r="A198" s="76"/>
    </x:row>
    <x:row r="199">
      <x:c r="A199" s="76"/>
    </x:row>
    <x:row r="200">
      <x:c r="A200" s="76"/>
    </x:row>
    <x:row r="201">
      <x:c r="A201" s="76"/>
    </x:row>
    <x:row r="202">
      <x:c r="A202" s="76"/>
    </x:row>
    <x:row r="203">
      <x:c r="A203" s="76"/>
    </x:row>
    <x:row r="204">
      <x:c r="A204" s="76"/>
    </x:row>
    <x:row r="205">
      <x:c r="A205" s="76"/>
    </x:row>
    <x:row r="206">
      <x:c r="A206" s="76"/>
    </x:row>
    <x:row r="207">
      <x:c r="A207" s="76"/>
    </x:row>
    <x:row r="208">
      <x:c r="A208" s="76"/>
    </x:row>
    <x:row r="209">
      <x:c r="A209" s="76"/>
    </x:row>
    <x:row r="210">
      <x:c r="A210" s="76"/>
    </x:row>
    <x:row r="211">
      <x:c r="A211" s="76"/>
    </x:row>
    <x:row r="212">
      <x:c r="A212" s="76"/>
    </x:row>
    <x:row r="213">
      <x:c r="A213" s="76"/>
    </x:row>
    <x:row r="214">
      <x:c r="A214" s="76"/>
    </x:row>
    <x:row r="215">
      <x:c r="A215" s="76"/>
    </x:row>
    <x:row r="216">
      <x:c r="A216" s="76"/>
    </x:row>
    <x:row r="217">
      <x:c r="A217" s="76"/>
    </x:row>
    <x:row r="218">
      <x:c r="A218" s="76"/>
    </x:row>
    <x:row r="219">
      <x:c r="A219" s="76"/>
    </x:row>
    <x:row r="220">
      <x:c r="A220" s="76"/>
    </x:row>
    <x:row r="221">
      <x:c r="A221" s="76"/>
    </x:row>
    <x:row r="222">
      <x:c r="A222" s="76"/>
    </x:row>
    <x:row r="223">
      <x:c r="A223" s="76"/>
    </x:row>
    <x:row r="224">
      <x:c r="A224" s="76"/>
    </x:row>
    <x:row r="225">
      <x:c r="A225" s="76"/>
    </x:row>
    <x:row r="226">
      <x:c r="A226" s="76"/>
    </x:row>
    <x:row r="227">
      <x:c r="A227" s="76"/>
    </x:row>
    <x:row r="228">
      <x:c r="A228" s="76"/>
    </x:row>
    <x:row r="229">
      <x:c r="A229" s="76"/>
    </x:row>
    <x:row r="230">
      <x:c r="A230" s="76"/>
    </x:row>
    <x:row r="231">
      <x:c r="A231" s="76"/>
    </x:row>
    <x:row r="232">
      <x:c r="A232" s="76"/>
    </x:row>
    <x:row r="233">
      <x:c r="A233" s="76"/>
    </x:row>
    <x:row r="234">
      <x:c r="A234" s="76"/>
    </x:row>
    <x:row r="235">
      <x:c r="A235" s="76"/>
    </x:row>
    <x:row r="236">
      <x:c r="A236" s="76"/>
    </x:row>
    <x:row r="237">
      <x:c r="A237" s="76"/>
    </x:row>
    <x:row r="238">
      <x:c r="A238" s="76"/>
    </x:row>
    <x:row r="239">
      <x:c r="A239" s="76"/>
    </x:row>
    <x:row r="240">
      <x:c r="A240" s="76"/>
    </x:row>
    <x:row r="241">
      <x:c r="A241" s="76"/>
    </x:row>
    <x:row r="242">
      <x:c r="A242" s="76"/>
    </x:row>
    <x:row r="243">
      <x:c r="A243" s="76"/>
    </x:row>
    <x:row r="244">
      <x:c r="A244" s="76"/>
    </x:row>
    <x:row r="245">
      <x:c r="A245" s="76"/>
    </x:row>
    <x:row r="246">
      <x:c r="A246" s="76"/>
    </x:row>
    <x:row r="247">
      <x:c r="A247" s="76"/>
    </x:row>
    <x:row r="248">
      <x:c r="A248" s="76"/>
    </x:row>
    <x:row r="249">
      <x:c r="A249" s="76"/>
    </x:row>
    <x:row r="250">
      <x:c r="A250" s="76"/>
    </x:row>
    <x:row r="251">
      <x:c r="A251" s="76"/>
    </x:row>
    <x:row r="252">
      <x:c r="A252" s="76"/>
    </x:row>
    <x:row r="253">
      <x:c r="A253" s="76"/>
    </x:row>
    <x:row r="254">
      <x:c r="A254" s="76"/>
    </x:row>
    <x:row r="255">
      <x:c r="A255" s="76"/>
    </x:row>
    <x:row r="256">
      <x:c r="A256" s="76"/>
    </x:row>
    <x:row r="257">
      <x:c r="A257" s="76"/>
    </x:row>
    <x:row r="258">
      <x:c r="A258" s="76"/>
    </x:row>
    <x:row r="259">
      <x:c r="A259" s="76"/>
    </x:row>
    <x:row r="260">
      <x:c r="A260" s="76"/>
    </x:row>
    <x:row r="261">
      <x:c r="A261" s="76"/>
    </x:row>
    <x:row r="262">
      <x:c r="A262" s="76"/>
    </x:row>
    <x:row r="263">
      <x:c r="A263" s="76"/>
    </x:row>
    <x:row r="264">
      <x:c r="A264" s="76"/>
    </x:row>
    <x:row r="265">
      <x:c r="A265" s="76"/>
    </x:row>
    <x:row r="266">
      <x:c r="A266" s="76"/>
    </x:row>
    <x:row r="267">
      <x:c r="A267" s="76"/>
    </x:row>
    <x:row r="268">
      <x:c r="A268" s="76"/>
    </x:row>
    <x:row r="269">
      <x:c r="A269" s="76"/>
    </x:row>
    <x:row r="270">
      <x:c r="A270" s="76"/>
    </x:row>
    <x:row r="271">
      <x:c r="A271" s="76"/>
    </x:row>
    <x:row r="272">
      <x:c r="A272" s="76"/>
    </x:row>
    <x:row r="273">
      <x:c r="A273" s="76"/>
    </x:row>
    <x:row r="274">
      <x:c r="A274" s="76"/>
    </x:row>
    <x:row r="275">
      <x:c r="A275" s="76"/>
    </x:row>
    <x:row r="276">
      <x:c r="A276" s="76"/>
    </x:row>
    <x:row r="277">
      <x:c r="A277" s="76"/>
    </x:row>
    <x:row r="278">
      <x:c r="A278" s="76"/>
    </x:row>
    <x:row r="279">
      <x:c r="A279" s="76"/>
    </x:row>
    <x:row r="280">
      <x:c r="A280" s="76"/>
    </x:row>
    <x:row r="281">
      <x:c r="A281" s="76"/>
    </x:row>
    <x:row r="282">
      <x:c r="A282" s="76"/>
    </x:row>
    <x:row r="283">
      <x:c r="A283" s="76"/>
    </x:row>
    <x:row r="284">
      <x:c r="A284" s="76"/>
    </x:row>
    <x:row r="285">
      <x:c r="A285" s="76"/>
    </x:row>
    <x:row r="286">
      <x:c r="A286" s="76"/>
    </x:row>
    <x:row r="287">
      <x:c r="A287" s="76"/>
    </x:row>
    <x:row r="288">
      <x:c r="A288" s="76"/>
    </x:row>
    <x:row r="289">
      <x:c r="A289" s="76"/>
    </x:row>
    <x:row r="290">
      <x:c r="A290" s="76"/>
    </x:row>
    <x:row r="291">
      <x:c r="A291" s="76"/>
    </x:row>
    <x:row r="292">
      <x:c r="A292" s="76"/>
    </x:row>
    <x:row r="293">
      <x:c r="A293" s="76"/>
    </x:row>
    <x:row r="294">
      <x:c r="A294" s="76"/>
    </x:row>
    <x:row r="295">
      <x:c r="A295" s="76"/>
    </x:row>
    <x:row r="296">
      <x:c r="A296" s="76"/>
    </x:row>
    <x:row r="297">
      <x:c r="A297" s="76"/>
    </x:row>
    <x:row r="298">
      <x:c r="A298" s="76"/>
    </x:row>
    <x:row r="299">
      <x:c r="A299" s="76"/>
    </x:row>
    <x:row r="300">
      <x:c r="A300" s="76"/>
    </x:row>
    <x:row r="301">
      <x:c r="A301" s="76"/>
    </x:row>
    <x:row r="302">
      <x:c r="A302" s="76"/>
    </x:row>
    <x:row r="303">
      <x:c r="A303" s="76"/>
    </x:row>
    <x:row r="304">
      <x:c r="A304" s="76"/>
    </x:row>
    <x:row r="305">
      <x:c r="A305" s="76"/>
    </x:row>
    <x:row r="306">
      <x:c r="A306" s="76"/>
    </x:row>
    <x:row r="307">
      <x:c r="A307" s="76"/>
    </x:row>
    <x:row r="308">
      <x:c r="A308" s="76"/>
    </x:row>
    <x:row r="309">
      <x:c r="A309" s="76"/>
    </x:row>
    <x:row r="310">
      <x:c r="A310" s="76"/>
    </x:row>
    <x:row r="311">
      <x:c r="A311" s="76"/>
    </x:row>
    <x:row r="312">
      <x:c r="A312" s="76"/>
    </x:row>
    <x:row r="313">
      <x:c r="A313" s="76"/>
    </x:row>
    <x:row r="314">
      <x:c r="A314" s="76"/>
    </x:row>
    <x:row r="315">
      <x:c r="A315" s="76"/>
    </x:row>
    <x:row r="316">
      <x:c r="A316" s="76"/>
    </x:row>
    <x:row r="317">
      <x:c r="A317" s="76"/>
    </x:row>
    <x:row r="318">
      <x:c r="A318" s="76"/>
    </x:row>
    <x:row r="319">
      <x:c r="A319" s="76"/>
    </x:row>
    <x:row r="320">
      <x:c r="A320" s="76"/>
    </x:row>
    <x:row r="321">
      <x:c r="A321" s="76"/>
    </x:row>
    <x:row r="322">
      <x:c r="A322" s="76"/>
    </x:row>
    <x:row r="323">
      <x:c r="A323" s="76"/>
    </x:row>
    <x:row r="324">
      <x:c r="A324" s="76"/>
    </x:row>
    <x:row r="325">
      <x:c r="A325" s="76"/>
    </x:row>
    <x:row r="326">
      <x:c r="A326" s="76"/>
    </x:row>
    <x:row r="327">
      <x:c r="A327" s="76"/>
    </x:row>
    <x:row r="328">
      <x:c r="A328" s="76"/>
    </x:row>
    <x:row r="329">
      <x:c r="A329" s="76"/>
    </x:row>
    <x:row r="330">
      <x:c r="A330" s="76"/>
    </x:row>
    <x:row r="331">
      <x:c r="A331" s="76"/>
    </x:row>
    <x:row r="332">
      <x:c r="A332" s="76"/>
    </x:row>
    <x:row r="333">
      <x:c r="A333" s="76"/>
    </x:row>
    <x:row r="334">
      <x:c r="A334" s="76"/>
    </x:row>
    <x:row r="335">
      <x:c r="A335" s="76"/>
    </x:row>
    <x:row r="336">
      <x:c r="A336" s="76"/>
    </x:row>
    <x:row r="337">
      <x:c r="A337" s="76"/>
    </x:row>
    <x:row r="338">
      <x:c r="A338" s="76"/>
    </x:row>
    <x:row r="339">
      <x:c r="A339" s="76"/>
    </x:row>
    <x:row r="340">
      <x:c r="A340" s="76"/>
    </x:row>
    <x:row r="341">
      <x:c r="A341" s="76"/>
    </x:row>
    <x:row r="342">
      <x:c r="A342" s="76"/>
    </x:row>
    <x:row r="343">
      <x:c r="A343" s="76"/>
    </x:row>
    <x:row r="344">
      <x:c r="A344" s="76"/>
    </x:row>
    <x:row r="345">
      <x:c r="A345" s="76"/>
    </x:row>
    <x:row r="346">
      <x:c r="A346" s="76"/>
    </x:row>
    <x:row r="347">
      <x:c r="A347" s="76"/>
    </x:row>
    <x:row r="348">
      <x:c r="A348" s="76"/>
    </x:row>
    <x:row r="349">
      <x:c r="A349" s="76"/>
    </x:row>
    <x:row r="350">
      <x:c r="A350" s="76"/>
    </x:row>
    <x:row r="351">
      <x:c r="A351" s="76"/>
    </x:row>
    <x:row r="352">
      <x:c r="A352" s="76"/>
    </x:row>
    <x:row r="353">
      <x:c r="A353" s="76"/>
    </x:row>
    <x:row r="354">
      <x:c r="A354" s="76"/>
    </x:row>
    <x:row r="355">
      <x:c r="A355" s="76"/>
    </x:row>
    <x:row r="356">
      <x:c r="A356" s="76"/>
    </x:row>
    <x:row r="357">
      <x:c r="A357" s="76"/>
    </x:row>
    <x:row r="358">
      <x:c r="A358" s="76"/>
    </x:row>
    <x:row r="359">
      <x:c r="A359" s="76"/>
    </x:row>
    <x:row r="360">
      <x:c r="A360" s="76"/>
    </x:row>
    <x:row r="361">
      <x:c r="A361" s="76"/>
    </x:row>
    <x:row r="362">
      <x:c r="A362" s="76"/>
    </x:row>
    <x:row r="363">
      <x:c r="A363" s="76"/>
    </x:row>
    <x:row r="364">
      <x:c r="A364" s="76"/>
    </x:row>
    <x:row r="365">
      <x:c r="A365" s="76"/>
    </x:row>
    <x:row r="366">
      <x:c r="A366" s="76"/>
    </x:row>
    <x:row r="367">
      <x:c r="A367" s="76"/>
    </x:row>
    <x:row r="368">
      <x:c r="A368" s="76"/>
    </x:row>
    <x:row r="369">
      <x:c r="A369" s="76"/>
    </x:row>
    <x:row r="370">
      <x:c r="A370" s="76"/>
    </x:row>
    <x:row r="371">
      <x:c r="A371" s="76"/>
    </x:row>
    <x:row r="372">
      <x:c r="A372" s="76"/>
    </x:row>
    <x:row r="373">
      <x:c r="A373" s="76"/>
    </x:row>
    <x:row r="374">
      <x:c r="A374" s="76"/>
    </x:row>
    <x:row r="375">
      <x:c r="A375" s="76"/>
    </x:row>
    <x:row r="376">
      <x:c r="A376" s="76"/>
    </x:row>
    <x:row r="377">
      <x:c r="A377" s="76"/>
    </x:row>
    <x:row r="378">
      <x:c r="A378" s="76"/>
    </x:row>
    <x:row r="379">
      <x:c r="A379" s="76"/>
    </x:row>
    <x:row r="380">
      <x:c r="A380" s="76"/>
    </x:row>
    <x:row r="381">
      <x:c r="A381" s="76"/>
    </x:row>
    <x:row r="382">
      <x:c r="A382" s="76"/>
    </x:row>
    <x:row r="383">
      <x:c r="A383" s="76"/>
    </x:row>
    <x:row r="384">
      <x:c r="A384" s="76"/>
    </x:row>
    <x:row r="385">
      <x:c r="A385" s="76"/>
    </x:row>
    <x:row r="386">
      <x:c r="A386" s="76"/>
    </x:row>
    <x:row r="387">
      <x:c r="A387" s="76"/>
    </x:row>
    <x:row r="388">
      <x:c r="A388" s="76"/>
    </x:row>
    <x:row r="389">
      <x:c r="A389" s="76"/>
    </x:row>
    <x:row r="390">
      <x:c r="A390" s="76"/>
    </x:row>
    <x:row r="391">
      <x:c r="A391" s="76"/>
    </x:row>
    <x:row r="392">
      <x:c r="A392" s="76"/>
    </x:row>
    <x:row r="393">
      <x:c r="A393" s="76"/>
    </x:row>
    <x:row r="394">
      <x:c r="A394" s="76"/>
    </x:row>
    <x:row r="395">
      <x:c r="A395" s="76"/>
    </x:row>
    <x:row r="396">
      <x:c r="A396" s="76"/>
    </x:row>
    <x:row r="397">
      <x:c r="A397" s="76"/>
    </x:row>
    <x:row r="398">
      <x:c r="A398" s="76"/>
    </x:row>
    <x:row r="399">
      <x:c r="A399" s="76"/>
    </x:row>
    <x:row r="400">
      <x:c r="A400" s="76"/>
    </x:row>
    <x:row r="401">
      <x:c r="A401" s="76"/>
    </x:row>
    <x:row r="402">
      <x:c r="A402" s="76"/>
    </x:row>
    <x:row r="403">
      <x:c r="A403" s="76"/>
    </x:row>
    <x:row r="404">
      <x:c r="A404" s="76"/>
    </x:row>
    <x:row r="405">
      <x:c r="A405" s="76"/>
    </x:row>
    <x:row r="406">
      <x:c r="A406" s="76"/>
    </x:row>
    <x:row r="407">
      <x:c r="A407" s="76"/>
    </x:row>
    <x:row r="408">
      <x:c r="A408" s="76"/>
    </x:row>
    <x:row r="409">
      <x:c r="A409" s="76"/>
    </x:row>
    <x:row r="410">
      <x:c r="A410" s="76"/>
    </x:row>
    <x:row r="411">
      <x:c r="A411" s="76"/>
    </x:row>
    <x:row r="412">
      <x:c r="A412" s="76"/>
    </x:row>
    <x:row r="413">
      <x:c r="A413" s="76"/>
    </x:row>
    <x:row r="414">
      <x:c r="A414" s="76"/>
    </x:row>
    <x:row r="415">
      <x:c r="A415" s="76"/>
    </x:row>
    <x:row r="416">
      <x:c r="A416" s="76"/>
    </x:row>
    <x:row r="417">
      <x:c r="A417" s="76"/>
    </x:row>
    <x:row r="418">
      <x:c r="A418" s="76"/>
    </x:row>
    <x:row r="419">
      <x:c r="A419" s="76"/>
    </x:row>
    <x:row r="420">
      <x:c r="A420" s="76"/>
    </x:row>
    <x:row r="421">
      <x:c r="A421" s="76"/>
    </x:row>
    <x:row r="422">
      <x:c r="A422" s="76"/>
    </x:row>
    <x:row r="423">
      <x:c r="A423" s="76"/>
    </x:row>
    <x:row r="424">
      <x:c r="A424" s="76"/>
    </x:row>
    <x:row r="425">
      <x:c r="A425" s="76"/>
    </x:row>
    <x:row r="426">
      <x:c r="A426" s="76"/>
    </x:row>
    <x:row r="427">
      <x:c r="A427" s="76"/>
    </x:row>
    <x:row r="428">
      <x:c r="A428" s="76"/>
    </x:row>
    <x:row r="429">
      <x:c r="A429" s="76"/>
    </x:row>
    <x:row r="430">
      <x:c r="A430" s="76"/>
    </x:row>
    <x:row r="431">
      <x:c r="A431" s="76"/>
    </x:row>
    <x:row r="432">
      <x:c r="A432" s="76"/>
    </x:row>
    <x:row r="433">
      <x:c r="A433" s="76"/>
    </x:row>
    <x:row r="434">
      <x:c r="A434" s="76"/>
    </x:row>
    <x:row r="435">
      <x:c r="A435" s="76"/>
    </x:row>
    <x:row r="436">
      <x:c r="A436" s="76"/>
    </x:row>
    <x:row r="437">
      <x:c r="A437" s="76"/>
    </x:row>
    <x:row r="438">
      <x:c r="A438" s="76"/>
    </x:row>
    <x:row r="439">
      <x:c r="A439" s="76"/>
    </x:row>
    <x:row r="440">
      <x:c r="A440" s="76"/>
    </x:row>
    <x:row r="441">
      <x:c r="A441" s="76"/>
    </x:row>
    <x:row r="442">
      <x:c r="A442" s="76"/>
    </x:row>
    <x:row r="443">
      <x:c r="A443" s="76"/>
    </x:row>
    <x:row r="444">
      <x:c r="A444" s="76"/>
    </x:row>
    <x:row r="445">
      <x:c r="A445" s="76"/>
    </x:row>
    <x:row r="446">
      <x:c r="A446" s="76"/>
    </x:row>
    <x:row r="447">
      <x:c r="A447" s="76"/>
    </x:row>
    <x:row r="448">
      <x:c r="A448" s="76"/>
    </x:row>
    <x:row r="449">
      <x:c r="A449" s="76"/>
    </x:row>
    <x:row r="450">
      <x:c r="A450" s="76"/>
    </x:row>
    <x:row r="451">
      <x:c r="A451" s="76"/>
    </x:row>
    <x:row r="452">
      <x:c r="A452" s="76"/>
    </x:row>
    <x:row r="453">
      <x:c r="A453" s="76"/>
    </x:row>
    <x:row r="454">
      <x:c r="A454" s="76"/>
    </x:row>
    <x:row r="455">
      <x:c r="A455" s="76"/>
    </x:row>
    <x:row r="456">
      <x:c r="A456" s="76"/>
    </x:row>
    <x:row r="457">
      <x:c r="A457" s="76"/>
    </x:row>
    <x:row r="458">
      <x:c r="A458" s="76"/>
    </x:row>
    <x:row r="459">
      <x:c r="A459" s="76"/>
    </x:row>
    <x:row r="460">
      <x:c r="A460" s="76"/>
    </x:row>
    <x:row r="461">
      <x:c r="A461" s="76"/>
    </x:row>
    <x:row r="462">
      <x:c r="A462" s="76"/>
    </x:row>
    <x:row r="463">
      <x:c r="A463" s="76"/>
    </x:row>
    <x:row r="464">
      <x:c r="A464" s="76"/>
    </x:row>
    <x:row r="465">
      <x:c r="A465" s="76"/>
    </x:row>
    <x:row r="466">
      <x:c r="A466" s="76"/>
    </x:row>
    <x:row r="467">
      <x:c r="A467" s="76"/>
    </x:row>
    <x:row r="468">
      <x:c r="A468" s="76"/>
    </x:row>
    <x:row r="469">
      <x:c r="A469" s="76"/>
    </x:row>
    <x:row r="470">
      <x:c r="A470" s="76"/>
    </x:row>
    <x:row r="471">
      <x:c r="A471" s="76"/>
    </x:row>
    <x:row r="472">
      <x:c r="A472" s="76"/>
    </x:row>
    <x:row r="473">
      <x:c r="A473" s="76"/>
    </x:row>
    <x:row r="474">
      <x:c r="A474" s="76"/>
    </x:row>
    <x:row r="475">
      <x:c r="A475" s="76"/>
    </x:row>
    <x:row r="476">
      <x:c r="A476" s="76"/>
    </x:row>
    <x:row r="477">
      <x:c r="A477" s="76"/>
    </x:row>
    <x:row r="478">
      <x:c r="A478" s="76"/>
    </x:row>
    <x:row r="479">
      <x:c r="A479" s="76"/>
    </x:row>
    <x:row r="480">
      <x:c r="A480" s="76"/>
    </x:row>
    <x:row r="481">
      <x:c r="A481" s="76"/>
    </x:row>
    <x:row r="482">
      <x:c r="A482" s="76"/>
    </x:row>
    <x:row r="483">
      <x:c r="A483" s="76"/>
    </x:row>
    <x:row r="484">
      <x:c r="A484" s="76"/>
    </x:row>
    <x:row r="485">
      <x:c r="A485" s="76"/>
    </x:row>
    <x:row r="486">
      <x:c r="A486" s="76"/>
    </x:row>
    <x:row r="487">
      <x:c r="A487" s="76"/>
    </x:row>
    <x:row r="488">
      <x:c r="A488" s="76"/>
    </x:row>
    <x:row r="489">
      <x:c r="A489" s="76"/>
    </x:row>
    <x:row r="490">
      <x:c r="A490" s="76"/>
    </x:row>
    <x:row r="491">
      <x:c r="A491" s="76"/>
    </x:row>
    <x:row r="492">
      <x:c r="A492" s="76"/>
    </x:row>
    <x:row r="493">
      <x:c r="A493" s="76"/>
    </x:row>
    <x:row r="494">
      <x:c r="A494" s="76"/>
    </x:row>
    <x:row r="495">
      <x:c r="A495" s="76"/>
    </x:row>
    <x:row r="496">
      <x:c r="A496" s="76"/>
    </x:row>
    <x:row r="497">
      <x:c r="A497" s="76"/>
    </x:row>
    <x:row r="498">
      <x:c r="A498" s="76"/>
    </x:row>
    <x:row r="499">
      <x:c r="A499" s="76"/>
    </x:row>
    <x:row r="500">
      <x:c r="A500" s="76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8fdbd4d57aa45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28" hidden="0" customWidth="1"/>
    <x:col min="5" max="5" width="36" hidden="0" customWidth="1"/>
    <x:col min="6" max="6" width="10" hidden="0" customWidth="1"/>
  </x:cols>
  <x:sheetData>
    <x:row r="1" ht="28" customHeight="1">
      <x:c r="A1" s="92" t="str">
        <x:v>与旧版/Codex文档的差异修正记录</x:v>
      </x:c>
      <x:c r="B1" s="92"/>
      <x:c r="C1" s="92"/>
      <x:c r="D1" s="92"/>
      <x:c r="E1" s="92"/>
      <x:c r="F1" s="92"/>
    </x:row>
    <x:row r="2" ht="42" customHeight="1">
      <x:c r="A2" s="96" t="str">
        <x:v>仅记录会影响字段读取、工具调用、表关联或统计口径的关键修正。Skill 编写时应以本表与“全字段对照”为准。</x:v>
      </x:c>
      <x:c r="B2" s="96"/>
      <x:c r="C2" s="96"/>
      <x:c r="D2" s="96"/>
      <x:c r="E2" s="96"/>
      <x:c r="F2" s="96"/>
    </x:row>
    <x:row r="4" ht="34" customHeight="1">
      <x:c r="A4" s="104" t="str">
        <x:v>序号</x:v>
      </x:c>
      <x:c r="B4" s="105" t="str">
        <x:v>原文/旧版问题</x:v>
      </x:c>
      <x:c r="C4" s="105" t="str">
        <x:v>优化版修正</x:v>
      </x:c>
      <x:c r="D4" s="105" t="str">
        <x:v>依据</x:v>
      </x:c>
      <x:c r="E4" s="105" t="str">
        <x:v>对Skill的影响</x:v>
      </x:c>
      <x:c r="F4" s="106" t="str">
        <x:v>优先级</x:v>
      </x:c>
    </x:row>
    <x:row r="5">
      <x:c r="A5" s="116" t="n">
        <x:v>1</x:v>
      </x:c>
      <x:c r="B5" s="117" t="str">
        <x:v>合同关联键写成仅使用“合同编号”。</x:v>
      </x:c>
      <x:c r="C5" s="117" t="str">
        <x:v>统一使用“合同类型 + 去除首尾空格后的合同编号”；合同编号按文本处理并保留前导零。</x:v>
      </x:c>
      <x:c r="D5" s="117" t="str">
        <x:v>实际样例存在合同编号首尾空格；不同业务类型可能出现相同编号。</x:v>
      </x:c>
      <x:c r="E5" s="117" t="str">
        <x:v>避免跨业务类型错配合同，以及编号被转数字后丢失前导零。</x:v>
      </x:c>
      <x:c r="F5" s="118" t="str">
        <x:v>最高</x:v>
      </x:c>
    </x:row>
    <x:row r="6">
      <x:c r="A6" s="116" t="n">
        <x:v>2</x:v>
      </x:c>
      <x:c r="B6" s="117" t="str">
        <x:v>把人员信息的第一个工作表称为“架构 Sheet”。</x:v>
      </x:c>
      <x:c r="C6" s="117" t="str">
        <x:v>实际工作表名称为“汇总”；Skill 应优先按表头特征识别，不应写死名称。</x:v>
      </x:c>
      <x:c r="D6" s="117" t="str">
        <x:v>源表工作表名为“汇总”。</x:v>
      </x:c>
      <x:c r="E6" s="117" t="str">
        <x:v>避免找不到工作表。</x:v>
      </x:c>
      <x:c r="F6" s="118" t="str">
        <x:v>最高</x:v>
      </x:c>
    </x:row>
    <x:row r="7">
      <x:c r="A7" s="116" t="n">
        <x:v>3</x:v>
      </x:c>
      <x:c r="B7" s="117" t="str">
        <x:v>把人员“汇总”表字段写成运营、大区、片区、门店、分组。</x:v>
      </x:c>
      <x:c r="C7" s="117" t="str">
        <x:v>准确字段为：运营、大区、片区、门店、人数；该表没有分组字段。</x:v>
      </x:c>
      <x:c r="D7" s="117" t="str">
        <x:v>源表表头共5列。</x:v>
      </x:c>
      <x:c r="E7" s="117" t="str">
        <x:v>避免把人数当成组织字段，也避免人均分母计算错误。</x:v>
      </x:c>
      <x:c r="F7" s="118" t="str">
        <x:v>最高</x:v>
      </x:c>
    </x:row>
    <x:row r="8">
      <x:c r="A8" s="116" t="n">
        <x:v>4</x:v>
      </x:c>
      <x:c r="B8" s="117" t="str">
        <x:v>人员列表字段中出现“在职、转正时间、业务范围、户籍、学历、常用电话、个人简介”等非当前样例表头。</x:v>
      </x:c>
      <x:c r="C8" s="117" t="str">
        <x:v>改为源表46个准确字段，并补回离职时间、冻结、冻结时间、提成方案、公积金号、备用电话、荣誉奖项等。</x:v>
      </x:c>
      <x:c r="D8" s="117" t="str">
        <x:v>源表人员列表表头核验。</x:v>
      </x:c>
      <x:c r="E8" s="117" t="str">
        <x:v>保证Skill只引用真实可导出的字段。</x:v>
      </x:c>
      <x:c r="F8" s="118" t="str">
        <x:v>最高</x:v>
      </x:c>
    </x:row>
    <x:row r="9">
      <x:c r="A9" s="116" t="n">
        <x:v>5</x:v>
      </x:c>
      <x:c r="B9" s="117" t="str">
        <x:v>合同字段被改写为“抵押状况、租赁抵押、押金数”。</x:v>
      </x:c>
      <x:c r="C9" s="117" t="str">
        <x:v>保留实际字段名：交易性质、有无抵押、押金金额；不存在“租赁抵押”列。</x:v>
      </x:c>
      <x:c r="D9" s="117" t="str">
        <x:v>合同信息导出表实际56个表头。</x:v>
      </x:c>
      <x:c r="E9" s="117" t="str">
        <x:v>避免导出指导出现不存在的列名。</x:v>
      </x:c>
      <x:c r="F9" s="118" t="str">
        <x:v>最高</x:v>
      </x:c>
    </x:row>
    <x:row r="10">
      <x:c r="A10" s="107" t="n">
        <x:v>6</x:v>
      </x:c>
      <x:c r="B10" s="108" t="str">
        <x:v>付款明细字段有时写成“项目”。</x:v>
      </x:c>
      <x:c r="C10" s="108" t="str">
        <x:v>准确原始字段名为“科目”；标准字段可映射为款项类型。</x:v>
      </x:c>
      <x:c r="D10" s="108" t="str">
        <x:v>付款明细导出表表头。</x:v>
      </x:c>
      <x:c r="E10" s="108" t="str">
        <x:v>避免客户在导出文件中找不到字段。</x:v>
      </x:c>
      <x:c r="F10" s="109" t="str">
        <x:v>高</x:v>
      </x:c>
    </x:row>
    <x:row r="11">
      <x:c r="A11" s="107" t="n">
        <x:v>7</x:v>
      </x:c>
      <x:c r="B11" s="108" t="str">
        <x:v>人员“汇总”表被描述为完整组织树。</x:v>
      </x:c>
      <x:c r="C11" s="108" t="str">
        <x:v>该表只有运营、大区、片区、门店、人数，且“门店”值可能带组名；完整人员归属应结合“人员列表”。</x:v>
      </x:c>
      <x:c r="D11" s="108" t="str">
        <x:v>源表结构及样例值。</x:v>
      </x:c>
      <x:c r="E11" s="108" t="str">
        <x:v>避免把汇总快照误当成完整层级字典。</x:v>
      </x:c>
      <x:c r="F11" s="109" t="str">
        <x:v>高</x:v>
      </x:c>
    </x:row>
    <x:row r="12">
      <x:c r="A12" s="107" t="n">
        <x:v>8</x:v>
      </x:c>
      <x:c r="B12" s="108" t="str">
        <x:v>MCP房源筛选中的数组参数被描述为逗号分隔字符串。</x:v>
      </x:c>
      <x:c r="C12" s="108" t="str">
        <x:v>houseTypes、towards、decoration、floorRanges 按 schema 传字符串数组；rooms 才是字符串。</x:v>
      </x:c>
      <x:c r="D12" s="108" t="str">
        <x:v>MCP schema。</x:v>
      </x:c>
      <x:c r="E12" s="108" t="str">
        <x:v>避免工具调用参数类型错误。</x:v>
      </x:c>
      <x:c r="F12" s="109" t="str">
        <x:v>高</x:v>
      </x:c>
    </x:row>
    <x:row r="13">
      <x:c r="A13" s="107" t="n">
        <x:v>9</x:v>
      </x:c>
      <x:c r="B13" s="108" t="str">
        <x:v>periodRanges 被解释为挂牌时间范围，periodUniq 被解释为一般唯一性。</x:v>
      </x:c>
      <x:c r="C13" s="108" t="str">
        <x:v>periodRanges 是房屋年限特色（如满两年）；periodUniq 是满五唯一。</x:v>
      </x:c>
      <x:c r="D13" s="108" t="str">
        <x:v>MCP schema。</x:v>
      </x:c>
      <x:c r="E13" s="108" t="str">
        <x:v>避免房源筛选语义错误。</x:v>
      </x:c>
      <x:c r="F13" s="109" t="str">
        <x:v>高</x:v>
      </x:c>
    </x:row>
    <x:row r="14">
      <x:c r="A14" s="122" t="n">
        <x:v>10</x:v>
      </x:c>
      <x:c r="B14" s="123" t="str">
        <x:v>未充分说明一对多表直接连接会重复金额。</x:v>
      </x:c>
      <x:c r="C14" s="123" t="str">
        <x:v>新增表粒度和防重复规则：应收应付、业绩分配、实收、付款均为一对多，合并前按目标粒度聚合。</x:v>
      </x:c>
      <x:c r="D14" s="123" t="str">
        <x:v>实际导出样例中同一合同存在多条科目、分配角色和收付款记录。</x:v>
      </x:c>
      <x:c r="E14" s="123" t="str">
        <x:v>避免合同数、应收、总实收佣金等被倍增。</x:v>
      </x:c>
      <x:c r="F14" s="124" t="str">
        <x:v>最高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4" hidden="0" customWidth="1"/>
    <x:col min="4" max="4" width="10" hidden="0" customWidth="1"/>
    <x:col min="5" max="5" width="24" hidden="0" customWidth="1"/>
    <x:col min="6" max="6" width="20" hidden="0" customWidth="1"/>
    <x:col min="7" max="7" width="34" hidden="0" customWidth="1"/>
    <x:col min="8" max="8" width="42" hidden="0" customWidth="1"/>
  </x:cols>
  <x:sheetData>
    <x:row r="1" ht="28" customHeight="1">
      <x:c r="A1" s="92" t="str">
        <x:v>导出文件与工作表自动识别规则</x:v>
      </x:c>
      <x:c r="B1" s="92"/>
      <x:c r="C1" s="92"/>
      <x:c r="D1" s="92"/>
      <x:c r="E1" s="92"/>
      <x:c r="F1" s="92"/>
      <x:c r="G1" s="92"/>
      <x:c r="H1" s="92"/>
    </x:row>
    <x:row r="2" ht="42" customHeight="1">
      <x:c r="A2" s="96" t="str">
        <x:v>Skill 不应依赖具体公司名、文件名前缀或固定工作表名；应优先使用表头特征识别模块。</x:v>
      </x:c>
      <x:c r="B2" s="96"/>
      <x:c r="C2" s="96"/>
      <x:c r="D2" s="96"/>
      <x:c r="E2" s="96"/>
      <x:c r="F2" s="96"/>
      <x:c r="G2" s="96"/>
      <x:c r="H2" s="96"/>
    </x:row>
    <x:row r="4" ht="34" customHeight="1">
      <x:c r="A4" s="104" t="str">
        <x:v>模块标准名</x:v>
      </x:c>
      <x:c r="B4" s="105" t="str">
        <x:v>可能的工作表名</x:v>
      </x:c>
      <x:c r="C4" s="105" t="str">
        <x:v>必备表头特征（建议至少命中）</x:v>
      </x:c>
      <x:c r="D4" s="105" t="str">
        <x:v>字段数</x:v>
      </x:c>
      <x:c r="E4" s="105" t="str">
        <x:v>数据粒度</x:v>
      </x:c>
      <x:c r="F4" s="105" t="str">
        <x:v>推荐日期字段</x:v>
      </x:c>
      <x:c r="G4" s="105" t="str">
        <x:v>主要关联键</x:v>
      </x:c>
      <x:c r="H4" s="106" t="str">
        <x:v>识别注意事项</x:v>
      </x:c>
    </x:row>
    <x:row r="5">
      <x:c r="A5" s="107" t="str">
        <x:v>付款明细导出</x:v>
      </x:c>
      <x:c r="B5" s="108" t="str">
        <x:v>1、付款明细或其他默认名</x:v>
      </x:c>
      <x:c r="C5" s="108" t="str">
        <x:v>合同类型、合同编号、类型、科目、金额、付款日期</x:v>
      </x:c>
      <x:c r="D5" s="108" t="n">
        <x:v>11</x:v>
      </x:c>
      <x:c r="E5" s="108" t="str">
        <x:v>一行一笔付款/退款科目记录</x:v>
      </x:c>
      <x:c r="F5" s="108" t="str">
        <x:v>付款创建日期或付款日期</x:v>
      </x:c>
      <x:c r="G5" s="108" t="str">
        <x:v>合同类型+合同编号；行级再加付款日期+金额+类型+科目</x:v>
      </x:c>
      <x:c r="H5" s="109" t="str">
        <x:v>不要依赖文件名中的月份；退款符号和状态需核对。</x:v>
      </x:c>
    </x:row>
    <x:row r="6">
      <x:c r="A6" s="107" t="str">
        <x:v>合同信息导出</x:v>
      </x:c>
      <x:c r="B6" s="108" t="str">
        <x:v>1、合同信息或其他默认名</x:v>
      </x:c>
      <x:c r="C6" s="108" t="str">
        <x:v>结单状态、产权地址、卖方/房东经纪人、买方/租客经纪人、签约日期</x:v>
      </x:c>
      <x:c r="D6" s="108" t="n">
        <x:v>56</x:v>
      </x:c>
      <x:c r="E6" s="108" t="str">
        <x:v>通常一行一份合同</x:v>
      </x:c>
      <x:c r="F6" s="108" t="str">
        <x:v>签约日期；结单分析另用结单日期</x:v>
      </x:c>
      <x:c r="G6" s="108" t="str">
        <x:v>合同类型+合同编号</x:v>
      </x:c>
      <x:c r="H6" s="109" t="str">
        <x:v>同一编号跨合同类型可能重复；编号常带首尾空格。</x:v>
      </x:c>
    </x:row>
    <x:row r="7">
      <x:c r="A7" s="107" t="str">
        <x:v>实收明细导出</x:v>
      </x:c>
      <x:c r="B7" s="108" t="str">
        <x:v>1、实收明细或其他默认名</x:v>
      </x:c>
      <x:c r="C7" s="108" t="str">
        <x:v>佣金来源、支付金额、支付日期、票据号码</x:v>
      </x:c>
      <x:c r="D7" s="108" t="n">
        <x:v>13</x:v>
      </x:c>
      <x:c r="E7" s="108" t="str">
        <x:v>一行一笔实收记录</x:v>
      </x:c>
      <x:c r="F7" s="108" t="str">
        <x:v>支付日期</x:v>
      </x:c>
      <x:c r="G7" s="108" t="str">
        <x:v>合同类型+合同编号；行级优先票据号码</x:v>
      </x:c>
      <x:c r="H7" s="109" t="str">
        <x:v>相同合同、日期和金额可能是合法多笔，也可能重复，不能只按金额去重。</x:v>
      </x:c>
    </x:row>
    <x:row r="8">
      <x:c r="A8" s="107" t="str">
        <x:v>业绩明细导出-应收应付</x:v>
      </x:c>
      <x:c r="B8" s="108" t="str">
        <x:v>应收应付</x:v>
      </x:c>
      <x:c r="C8" s="108" t="str">
        <x:v>应收金额、应收科目、应付科目、应付金额、签约日期</x:v>
      </x:c>
      <x:c r="D8" s="108" t="n">
        <x:v>14</x:v>
      </x:c>
      <x:c r="E8" s="108" t="str">
        <x:v>一行一个合同-应付科目组合</x:v>
      </x:c>
      <x:c r="F8" s="108" t="str">
        <x:v>签约日期；结单分析另用结单时间</x:v>
      </x:c>
      <x:c r="G8" s="108" t="str">
        <x:v>合同类型+合同编号+应收科目+应付科目</x:v>
      </x:c>
      <x:c r="H8" s="109" t="str">
        <x:v>应收金额可能在多条应付科目行重复，直接求和会虚高。</x:v>
      </x:c>
    </x:row>
    <x:row r="9">
      <x:c r="A9" s="107" t="str">
        <x:v>业绩明细导出-业绩分配</x:v>
      </x:c>
      <x:c r="B9" s="108" t="str">
        <x:v>业绩分配</x:v>
      </x:c>
      <x:c r="C9" s="108" t="str">
        <x:v>经纪人、业绩门店、分配类型、分配比例、分配业绩、总实收业绩</x:v>
      </x:c>
      <x:c r="D9" s="108" t="n">
        <x:v>20</x:v>
      </x:c>
      <x:c r="E9" s="108" t="str">
        <x:v>一行一个合同-人员-分配角色</x:v>
      </x:c>
      <x:c r="F9" s="108" t="str">
        <x:v>签约日期；结单分析另用结单时间</x:v>
      </x:c>
      <x:c r="G9" s="108" t="str">
        <x:v>合同类型+合同编号+经纪人+分配类型+应收科目</x:v>
      </x:c>
      <x:c r="H9" s="109" t="str">
        <x:v>总实收佣金常在同一合同多条分配行重复，不能逐行求和。</x:v>
      </x:c>
    </x:row>
    <x:row r="10">
      <x:c r="A10" s="107" t="str">
        <x:v>人员信息导出-汇总</x:v>
      </x:c>
      <x:c r="B10" s="108" t="str">
        <x:v>汇总</x:v>
      </x:c>
      <x:c r="C10" s="108" t="str">
        <x:v>运营、大区、片区、门店、人数</x:v>
      </x:c>
      <x:c r="D10" s="108" t="n">
        <x:v>5</x:v>
      </x:c>
      <x:c r="E10" s="108" t="str">
        <x:v>一行一个汇总组织节点</x:v>
      </x:c>
      <x:c r="F10" s="108" t="str">
        <x:v>导出时点快照</x:v>
      </x:c>
      <x:c r="G10" s="108" t="str">
        <x:v>运营+大区+片区+门店</x:v>
      </x:c>
      <x:c r="H10" s="109" t="str">
        <x:v>没有分组列；“门店”值可能包含组级名称，只能视为原始部门标签。</x:v>
      </x:c>
    </x:row>
    <x:row r="11">
      <x:c r="A11" s="110" t="str">
        <x:v>人员信息导出-人员列表</x:v>
      </x:c>
      <x:c r="B11" s="111" t="str">
        <x:v>人员列表</x:v>
      </x:c>
      <x:c r="C11" s="111" t="str">
        <x:v>姓名、工号、离职、冻结、最近登录时间、入职日期</x:v>
      </x:c>
      <x:c r="D11" s="111" t="n">
        <x:v>46</x:v>
      </x:c>
      <x:c r="E11" s="111" t="str">
        <x:v>一行一个人员账号/档案</x:v>
      </x:c>
      <x:c r="F11" s="111" t="str">
        <x:v>导出时点快照</x:v>
      </x:c>
      <x:c r="G11" s="111" t="str">
        <x:v>工号优先；否则姓名+门店/分组</x:v>
      </x:c>
      <x:c r="H11" s="112" t="str">
        <x:v>历史组织归属无法仅凭当前快照还原。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4" hidden="0" customWidth="1"/>
    <x:col min="4" max="4" width="34" hidden="0" customWidth="1"/>
    <x:col min="5" max="5" width="46" hidden="0" customWidth="1"/>
    <x:col min="6" max="6" width="30" hidden="0" customWidth="1"/>
    <x:col min="7" max="7" width="34" hidden="0" customWidth="1"/>
  </x:cols>
  <x:sheetData>
    <x:row r="1" ht="28" customHeight="1">
      <x:c r="A1" s="92" t="str">
        <x:v>表粒度、重复记录与防止金额倍增规则</x:v>
      </x:c>
      <x:c r="B1" s="92"/>
      <x:c r="C1" s="92"/>
      <x:c r="D1" s="92"/>
      <x:c r="E1" s="92"/>
      <x:c r="F1" s="92"/>
      <x:c r="G1" s="92"/>
    </x:row>
    <x:row r="2" ht="42" customHeight="1">
      <x:c r="A2" s="96" t="str">
        <x:v>这是 Skill 中必须执行的计算约束。尤其禁止把多个一对多子表直接连接后再求和。</x:v>
      </x:c>
      <x:c r="B2" s="96"/>
      <x:c r="C2" s="96"/>
      <x:c r="D2" s="96"/>
      <x:c r="E2" s="96"/>
      <x:c r="F2" s="96"/>
      <x:c r="G2" s="96"/>
    </x:row>
    <x:row r="4" ht="34" customHeight="1">
      <x:c r="A4" s="104" t="str">
        <x:v>数据模块</x:v>
      </x:c>
      <x:c r="B4" s="105" t="str">
        <x:v>原始粒度</x:v>
      </x:c>
      <x:c r="C4" s="105" t="str">
        <x:v>常见重复来源</x:v>
      </x:c>
      <x:c r="D4" s="105" t="str">
        <x:v>错误做法</x:v>
      </x:c>
      <x:c r="E4" s="105" t="str">
        <x:v>正确处理</x:v>
      </x:c>
      <x:c r="F4" s="105" t="str">
        <x:v>可安全汇总字段</x:v>
      </x:c>
      <x:c r="G4" s="106" t="str">
        <x:v>需先去重/单独处理字段</x:v>
      </x:c>
    </x:row>
    <x:row r="5">
      <x:c r="A5" s="107" t="str">
        <x:v>合同信息</x:v>
      </x:c>
      <x:c r="B5" s="108" t="str">
        <x:v>通常一合同一行</x:v>
      </x:c>
      <x:c r="C5" s="108" t="str">
        <x:v>少数系统可能因附件/子协议拆行</x:v>
      </x:c>
      <x:c r="D5" s="108" t="str">
        <x:v>直接按行数当合同数</x:v>
      </x:c>
      <x:c r="E5" s="108" t="str">
        <x:v>按合同类型+合同编号去重后统计合同数</x:v>
      </x:c>
      <x:c r="F5" s="108" t="str">
        <x:v>成交金额/租金、双方佣金（确认一合同一行后）</x:v>
      </x:c>
      <x:c r="G5" s="109" t="str">
        <x:v>备注、地址等文本</x:v>
      </x:c>
    </x:row>
    <x:row r="6">
      <x:c r="A6" s="107" t="str">
        <x:v>应收应付</x:v>
      </x:c>
      <x:c r="B6" s="108" t="str">
        <x:v>合同×应收科目×应付科目</x:v>
      </x:c>
      <x:c r="C6" s="108" t="str">
        <x:v>一个合同有多个应付科目，应收金额重复展示</x:v>
      </x:c>
      <x:c r="D6" s="108" t="str">
        <x:v>逐行合计应收金额</x:v>
      </x:c>
      <x:c r="E6" s="108" t="str">
        <x:v>应收先按合同键+应收科目取唯一值；应付按行汇总</x:v>
      </x:c>
      <x:c r="F6" s="108" t="str">
        <x:v>应付金额</x:v>
      </x:c>
      <x:c r="G6" s="109" t="str">
        <x:v>应收金额、合同数</x:v>
      </x:c>
    </x:row>
    <x:row r="7">
      <x:c r="A7" s="107" t="str">
        <x:v>业绩分配</x:v>
      </x:c>
      <x:c r="B7" s="108" t="str">
        <x:v>合同×人员×分配类型×科目</x:v>
      </x:c>
      <x:c r="C7" s="108" t="str">
        <x:v>同一合同拆多人员、多角色；总实收佣金重复</x:v>
      </x:c>
      <x:c r="D7" s="108" t="str">
        <x:v>把总实收佣金逐行求和</x:v>
      </x:c>
      <x:c r="E7" s="108" t="str">
        <x:v>分配业绩按唯一分配行汇总；总实收佣金按合同键+科目去重</x:v>
      </x:c>
      <x:c r="F7" s="108" t="str">
        <x:v>分配业绩、总实收业绩（先保证行唯一）</x:v>
      </x:c>
      <x:c r="G7" s="109" t="str">
        <x:v>总实收佣金、合同数</x:v>
      </x:c>
    </x:row>
    <x:row r="8">
      <x:c r="A8" s="107" t="str">
        <x:v>实收明细</x:v>
      </x:c>
      <x:c r="B8" s="108" t="str">
        <x:v>一笔实收流水</x:v>
      </x:c>
      <x:c r="C8" s="108" t="str">
        <x:v>同合同可同日多笔同金额；票据号可能合并多个号码</x:v>
      </x:c>
      <x:c r="D8" s="108" t="str">
        <x:v>仅按合同号或合同号+金额去重</x:v>
      </x:c>
      <x:c r="E8" s="108" t="str">
        <x:v>优先使用票据号；无票据号时保留原始行并用复合键标记疑似重复</x:v>
      </x:c>
      <x:c r="F8" s="108" t="str">
        <x:v>支付金额（明确审核/退款口径后）</x:v>
      </x:c>
      <x:c r="G8" s="109" t="str">
        <x:v>合同数、重复流水判断</x:v>
      </x:c>
    </x:row>
    <x:row r="9">
      <x:c r="A9" s="107" t="str">
        <x:v>付款明细</x:v>
      </x:c>
      <x:c r="B9" s="108" t="str">
        <x:v>一笔付款/退款科目流水</x:v>
      </x:c>
      <x:c r="C9" s="108" t="str">
        <x:v>同合同同日多个科目或多次退款</x:v>
      </x:c>
      <x:c r="D9" s="108" t="str">
        <x:v>把退款金额无条件当负数或逐合同只保留一行</x:v>
      </x:c>
      <x:c r="E9" s="108" t="str">
        <x:v>根据类型字段决定正负；行级键加入日期、金额、类型、科目、付款人</x:v>
      </x:c>
      <x:c r="F9" s="108" t="str">
        <x:v>金额（统一正负规则后）</x:v>
      </x:c>
      <x:c r="G9" s="109" t="str">
        <x:v>合同数、付款笔数</x:v>
      </x:c>
    </x:row>
    <x:row r="10">
      <x:c r="A10" s="107" t="str">
        <x:v>人员列表</x:v>
      </x:c>
      <x:c r="B10" s="108" t="str">
        <x:v>一人员账号/档案</x:v>
      </x:c>
      <x:c r="C10" s="108" t="str">
        <x:v>同名人员、调店、重复账号</x:v>
      </x:c>
      <x:c r="D10" s="108" t="str">
        <x:v>用姓名单字段关联历史业务</x:v>
      </x:c>
      <x:c r="E10" s="108" t="str">
        <x:v>优先工号；无工号使用姓名+组织并输出冲突清单</x:v>
      </x:c>
      <x:c r="F10" s="108" t="str">
        <x:v>人数（按明确离职/冻结口径）</x:v>
      </x:c>
      <x:c r="G10" s="109" t="str">
        <x:v>历史组织归属</x:v>
      </x:c>
    </x:row>
    <x:row r="11">
      <x:c r="A11" s="110" t="str">
        <x:v>跨表合并</x:v>
      </x:c>
      <x:c r="B11" s="111" t="str">
        <x:v>合同主表1对多连接财务/业绩表</x:v>
      </x:c>
      <x:c r="C11" s="111" t="str">
        <x:v>先连接多个子表会产生笛卡尔积</x:v>
      </x:c>
      <x:c r="D11" s="111" t="str">
        <x:v>合同→实收→业绩分配直接逐行连接后汇总</x:v>
      </x:c>
      <x:c r="E11" s="111" t="str">
        <x:v>每个子表先聚合到目标粒度，再与合同主表连接</x:v>
      </x:c>
      <x:c r="F11" s="111" t="str">
        <x:v>聚合后的指标</x:v>
      </x:c>
      <x:c r="G11" s="112" t="str">
        <x:v>任何原始行级金额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2" hidden="0" customWidth="1"/>
    <x:col min="4" max="4" width="30" hidden="0" customWidth="1"/>
    <x:col min="5" max="5" width="20" hidden="0" customWidth="1"/>
    <x:col min="6" max="6" width="48" hidden="0" customWidth="1"/>
    <x:col min="7" max="7" width="42" hidden="0" customWidth="1"/>
    <x:col min="8" max="8" width="72" hidden="0" customWidth="1"/>
  </x:cols>
  <x:sheetData>
    <x:row r="1" ht="28" customHeight="1">
      <x:c r="A1" s="92" t="str">
        <x:v>按客户需求生成最小化导出指令</x:v>
      </x:c>
      <x:c r="B1" s="92"/>
      <x:c r="C1" s="92"/>
      <x:c r="D1" s="92"/>
      <x:c r="E1" s="92"/>
      <x:c r="F1" s="92"/>
      <x:c r="G1" s="92"/>
      <x:c r="H1" s="92"/>
    </x:row>
    <x:row r="2" ht="42" customHeight="1">
      <x:c r="A2" s="96" t="str">
        <x:v>优先调用 MCP；仅当字段缺失、口径不明或需要原始显示值时触发导出。模板中的日期字段必须替换为实际筛选口径。</x:v>
      </x:c>
      <x:c r="B2" s="96"/>
      <x:c r="C2" s="96"/>
      <x:c r="D2" s="96"/>
      <x:c r="E2" s="96"/>
      <x:c r="F2" s="96"/>
      <x:c r="G2" s="96"/>
      <x:c r="H2" s="96"/>
    </x:row>
    <x:row r="4" ht="34" customHeight="1">
      <x:c r="A4" s="104" t="str">
        <x:v>需求类型</x:v>
      </x:c>
      <x:c r="B4" s="105" t="str">
        <x:v>应先调用MCP</x:v>
      </x:c>
      <x:c r="C4" s="105" t="str">
        <x:v>触发导出的条件</x:v>
      </x:c>
      <x:c r="D4" s="105" t="str">
        <x:v>请客户导出的表/Sheet</x:v>
      </x:c>
      <x:c r="E4" s="105" t="str">
        <x:v>日期筛选字段</x:v>
      </x:c>
      <x:c r="F4" s="105" t="str">
        <x:v>最小必要字段</x:v>
      </x:c>
      <x:c r="G4" s="105" t="str">
        <x:v>合并/计算要点</x:v>
      </x:c>
      <x:c r="H4" s="106" t="str">
        <x:v>可直接发送给客户的通用指令</x:v>
      </x:c>
    </x:row>
    <x:row r="5">
      <x:c r="A5" s="107" t="str">
        <x:v>统计值对应具体合同</x:v>
      </x:c>
      <x:c r="B5" s="108" t="str">
        <x:v>queryRptData + 合同明细 + 业绩分配</x:v>
      </x:c>
      <x:c r="C5" s="108" t="str">
        <x:v>统计值与明细合同数不一致，或需要结单/组织字段</x:v>
      </x:c>
      <x:c r="D5" s="108" t="str">
        <x:v>合同信息导出</x:v>
      </x:c>
      <x:c r="E5" s="108" t="str">
        <x:v>签约日期；如按结单口径则结单日期</x:v>
      </x:c>
      <x:c r="F5" s="108" t="str">
        <x:v>合同类型、合同编号、签约日期、结单日期、结单状态、业绩分配、签约门店、签约小组</x:v>
      </x:c>
      <x:c r="G5" s="108" t="str">
        <x:v>按合同类型+合同编号去重核对</x:v>
      </x:c>
      <x:c r="H5" s="109" t="str">
        <x:v>请导出【合同信息导出】，筛选【日期字段】为【开始日期】至【结束日期】，保留合同类型、合同编号、签约日期、结单日期、结单状态、业绩分配、签约门店、签约小组。</x:v>
      </x:c>
    </x:row>
    <x:row r="6">
      <x:c r="A6" s="107" t="str">
        <x:v>按完整组织层级分析合同</x:v>
      </x:c>
      <x:c r="B6" s="108" t="str">
        <x:v>合同明细/业绩分配</x:v>
      </x:c>
      <x:c r="C6" s="108" t="str">
        <x:v>需要运营、大区、片区、门店、分组或职能</x:v>
      </x:c>
      <x:c r="D6" s="108" t="str">
        <x:v>人员信息导出-人员列表；必要时合同信息导出</x:v>
      </x:c>
      <x:c r="E6" s="108" t="str">
        <x:v>人员表为分析截止日快照；合同表按签约日期</x:v>
      </x:c>
      <x:c r="F6" s="108" t="str">
        <x:v>工号、姓名、运营、大区、片区、门店、分组、职能、离职、离职时间、入职日期</x:v>
      </x:c>
      <x:c r="G6" s="108" t="str">
        <x:v>优先工号；历史调店需说明当前组织口径</x:v>
      </x:c>
      <x:c r="H6" s="109" t="str">
        <x:v>请导出【人员信息导出】中的【人员列表】，保留工号、姓名、运营、大区、片区、门店、分组、职能、入职日期、离职、离职时间；不要导出身份证、银行卡、地址等无关字段。</x:v>
      </x:c>
    </x:row>
    <x:row r="7">
      <x:c r="A7" s="107" t="str">
        <x:v>人均成交/人均业绩</x:v>
      </x:c>
      <x:c r="B7" s="108" t="str">
        <x:v>queryRptData或业绩分配</x:v>
      </x:c>
      <x:c r="C7" s="108" t="str">
        <x:v>MCP没有准确人员分母</x:v>
      </x:c>
      <x:c r="D7" s="108" t="str">
        <x:v>人员信息导出-汇总+人员列表</x:v>
      </x:c>
      <x:c r="E7" s="108" t="str">
        <x:v>统计期对应的人员快照</x:v>
      </x:c>
      <x:c r="F7" s="108" t="str">
        <x:v>汇总：运营、大区、片区、门店、人数；人员列表：工号、姓名、组织、入职、离职、冻结</x:v>
      </x:c>
      <x:c r="G7" s="108" t="str">
        <x:v>先定义期末/平均/期间在职人数</x:v>
      </x:c>
      <x:c r="H7" s="109" t="str">
        <x:v>请导出【人员信息导出】的【汇总】和【人员列表】两个工作表，并保留组织、人数、工号、姓名、入职日期、离职、离职时间、冻结字段。</x:v>
      </x:c>
    </x:row>
    <x:row r="8">
      <x:c r="A8" s="107" t="str">
        <x:v>房源方/客源方组织分析</x:v>
      </x:c>
      <x:c r="B8" s="108" t="str">
        <x:v>合同明细</x:v>
      </x:c>
      <x:c r="C8" s="108" t="str">
        <x:v>MCP只返回经纪人姓名，没有双方组织层级</x:v>
      </x:c>
      <x:c r="D8" s="108" t="str">
        <x:v>合同信息导出</x:v>
      </x:c>
      <x:c r="E8" s="108" t="str">
        <x:v>签约日期</x:v>
      </x:c>
      <x:c r="F8" s="108" t="str">
        <x:v>合同类型、合同编号、双方经纪人、职能、分组、门店、片区、大区、运营、签约日期</x:v>
      </x:c>
      <x:c r="G8" s="108" t="str">
        <x:v>房源方与客源方分别建维度</x:v>
      </x:c>
      <x:c r="H8" s="109" t="str">
        <x:v>请导出【合同信息导出】，按签约日期筛选目标时间段，保留合同标识、房源方和客源方经纪人及其职能、分组、门店、片区、大区、运营字段。</x:v>
      </x:c>
    </x:row>
    <x:row r="9">
      <x:c r="A9" s="107" t="str">
        <x:v>已实收业绩/业绩小组</x:v>
      </x:c>
      <x:c r="B9" s="108" t="str">
        <x:v>业绩分配 + 实收明细</x:v>
      </x:c>
      <x:c r="C9" s="108" t="str">
        <x:v>需要总实收业绩、业绩小组或原始业绩门店</x:v>
      </x:c>
      <x:c r="D9" s="108" t="str">
        <x:v>业绩明细导出-业绩分配</x:v>
      </x:c>
      <x:c r="E9" s="108" t="str">
        <x:v>签约日期；结单分析另保留结单时间</x:v>
      </x:c>
      <x:c r="F9" s="108" t="str">
        <x:v>合同键、经纪人、业绩门店、业绩小组、应收科目、分配类型、比例、分配业绩、总实收佣金、总实收业绩</x:v>
      </x:c>
      <x:c r="G9" s="108" t="str">
        <x:v>总实收佣金按合同去重，分配行按复合键唯一</x:v>
      </x:c>
      <x:c r="H9" s="109" t="str">
        <x:v>请导出【业绩明细导出】中的【业绩分配】工作表，保留合同键、经纪人、业绩组织、分配类型、比例、分配业绩、总实收佣金、总实收业绩和签约日期。</x:v>
      </x:c>
    </x:row>
    <x:row r="10">
      <x:c r="A10" s="107" t="str">
        <x:v>实收按签约分组分析</x:v>
      </x:c>
      <x:c r="B10" s="108" t="str">
        <x:v>实收明细</x:v>
      </x:c>
      <x:c r="C10" s="108" t="str">
        <x:v>需要签约分组或可读审核状态</x:v>
      </x:c>
      <x:c r="D10" s="108" t="str">
        <x:v>实收明细导出</x:v>
      </x:c>
      <x:c r="E10" s="108" t="str">
        <x:v>支付日期</x:v>
      </x:c>
      <x:c r="F10" s="108" t="str">
        <x:v>合同键、科目、状态、签约门店、签约分组、签约人、佣金来源、支付金额、支付日期、票据号码</x:v>
      </x:c>
      <x:c r="G10" s="108" t="str">
        <x:v>票据号优先用于流水识别</x:v>
      </x:c>
      <x:c r="H10" s="109" t="str">
        <x:v>请导出【实收明细导出】，按支付日期筛选目标时间段，保留合同键、科目、状态、签约门店、签约分组、签约人、佣金来源、支付金额、支付日期和票据号码。</x:v>
      </x:c>
    </x:row>
    <x:row r="11">
      <x:c r="A11" s="107" t="str">
        <x:v>应收应付科目复核</x:v>
      </x:c>
      <x:c r="B11" s="108" t="str">
        <x:v>应收应付</x:v>
      </x:c>
      <x:c r="C11" s="108" t="str">
        <x:v>需要原始显示值或部门层级核对</x:v>
      </x:c>
      <x:c r="D11" s="108" t="str">
        <x:v>业绩明细导出-应收应付</x:v>
      </x:c>
      <x:c r="E11" s="108" t="str">
        <x:v>签约日期</x:v>
      </x:c>
      <x:c r="F11" s="108" t="str">
        <x:v>合同键、签约门店、应收金额、应收科目、应付科目、应付金额、签约日期</x:v>
      </x:c>
      <x:c r="G11" s="108" t="str">
        <x:v>应收金额按合同+应收科目去重</x:v>
      </x:c>
      <x:c r="H11" s="109" t="str">
        <x:v>请导出【业绩明细导出】中的【应收应付】工作表，按签约日期筛选目标时间段，并保留合同键、签约门店、应收及应付科目和金额。</x:v>
      </x:c>
    </x:row>
    <x:row r="12">
      <x:c r="A12" s="110" t="str">
        <x:v>交易性质/抵押分析</x:v>
      </x:c>
      <x:c r="B12" s="111" t="str">
        <x:v>合同明细</x:v>
      </x:c>
      <x:c r="C12" s="111" t="str">
        <x:v>MCP无交易性质或有无抵押</x:v>
      </x:c>
      <x:c r="D12" s="111" t="str">
        <x:v>合同信息导出</x:v>
      </x:c>
      <x:c r="E12" s="111" t="str">
        <x:v>签约日期</x:v>
      </x:c>
      <x:c r="F12" s="111" t="str">
        <x:v>合同键、交易性质、有无抵押、签约日期、结单状态、结单日期、成交金额/租金</x:v>
      </x:c>
      <x:c r="G12" s="111" t="str">
        <x:v>仅补充结构化字段，不从备注猜测</x:v>
      </x:c>
      <x:c r="H12" s="112" t="str">
        <x:v>请导出【合同信息导出】，按签约日期筛选目标时间段，保留合同类型、合同编号、交易性质、有无抵押、签约日期、结单状态、结单日期和成交金额/租金。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44" hidden="0" customWidth="1"/>
  </x:cols>
  <x:sheetData>
    <x:row r="1" ht="28" customHeight="1">
      <x:c r="A1" s="92" t="str">
        <x:v>Skill 文件组织与读取建议</x:v>
      </x:c>
      <x:c r="B1" s="92"/>
      <x:c r="C1" s="92"/>
      <x:c r="D1" s="92"/>
      <x:c r="E1" s="92"/>
      <x:c r="F1" s="92"/>
      <x:c r="G1" s="92"/>
    </x:row>
    <x:row r="2" ht="42" customHeight="1">
      <x:c r="A2" s="96" t="str">
        <x:v>结论：Excel 可以放入 Skill 作为人工维护和审计版本，但不应作为唯一知识文件。文本规则 + TSV字段矩阵更适合Codex稳定读取。</x:v>
      </x:c>
      <x:c r="B2" s="96"/>
      <x:c r="C2" s="96"/>
      <x:c r="D2" s="96"/>
      <x:c r="E2" s="96"/>
      <x:c r="F2" s="96"/>
      <x:c r="G2" s="96"/>
    </x:row>
    <x:row r="4" ht="34" customHeight="1">
      <x:c r="A4" s="104" t="str">
        <x:v>文件角色</x:v>
      </x:c>
      <x:c r="B4" s="105" t="str">
        <x:v>推荐格式</x:v>
      </x:c>
      <x:c r="C4" s="105" t="str">
        <x:v>是否建议放入Skill</x:v>
      </x:c>
      <x:c r="D4" s="105" t="str">
        <x:v>读取方式</x:v>
      </x:c>
      <x:c r="E4" s="105" t="str">
        <x:v>优点</x:v>
      </x:c>
      <x:c r="F4" s="105" t="str">
        <x:v>限制</x:v>
      </x:c>
      <x:c r="G4" s="106" t="str">
        <x:v>最终建议</x:v>
      </x:c>
    </x:row>
    <x:row r="5">
      <x:c r="A5" s="107" t="str">
        <x:v>主规则与决策流程</x:v>
      </x:c>
      <x:c r="B5" s="108" t="str">
        <x:v>SKILL.md / UTF-8 Markdown</x:v>
      </x:c>
      <x:c r="C5" s="108" t="str">
        <x:v>必须</x:v>
      </x:c>
      <x:c r="D5" s="108" t="str">
        <x:v>Codex直接读取、grep、按章节定位</x:v>
      </x:c>
      <x:c r="E5" s="108" t="str">
        <x:v>最快、最稳定、无需解析库</x:v>
      </x:c>
      <x:c r="F5" s="108" t="str">
        <x:v>不适合维护165行字段矩阵</x:v>
      </x:c>
      <x:c r="G5" s="109" t="str">
        <x:v>写核心流程、强制规则、工具选择、导出触发条件。</x:v>
      </x:c>
    </x:row>
    <x:row r="6">
      <x:c r="A6" s="107" t="str">
        <x:v>详细说明参考</x:v>
      </x:c>
      <x:c r="B6" s="108" t="str">
        <x:v>UTF-8 TXT/MD</x:v>
      </x:c>
      <x:c r="C6" s="108" t="str">
        <x:v>强烈建议</x:v>
      </x:c>
      <x:c r="D6" s="108" t="str">
        <x:v>按关键词搜索章节</x:v>
      </x:c>
      <x:c r="E6" s="108" t="str">
        <x:v>可直接读，兼容性高</x:v>
      </x:c>
      <x:c r="F6" s="108" t="str">
        <x:v>表格结构不如TSV严格</x:v>
      </x:c>
      <x:c r="G6" s="109" t="str">
        <x:v>放完整工具说明、口径、场景方案和字段解释。</x:v>
      </x:c>
    </x:row>
    <x:row r="7">
      <x:c r="A7" s="107" t="str">
        <x:v>机器可读字段矩阵</x:v>
      </x:c>
      <x:c r="B7" s="108" t="str">
        <x:v>TSV</x:v>
      </x:c>
      <x:c r="C7" s="108" t="str">
        <x:v>强烈建议</x:v>
      </x:c>
      <x:c r="D7" s="108" t="str">
        <x:v>按行读取或用Python csv模块解析</x:v>
      </x:c>
      <x:c r="E7" s="108" t="str">
        <x:v>无需Excel库，字段中逗号不影响列</x:v>
      </x:c>
      <x:c r="F7" s="108" t="str">
        <x:v>不适合复杂样式</x:v>
      </x:c>
      <x:c r="G7" s="109" t="str">
        <x:v>Skill查字段时优先读取TSV。</x:v>
      </x:c>
    </x:row>
    <x:row r="8">
      <x:c r="A8" s="110" t="str">
        <x:v>人工维护版本</x:v>
      </x:c>
      <x:c r="B8" s="111" t="str">
        <x:v>XLSX</x:v>
      </x:c>
      <x:c r="C8" s="111" t="str">
        <x:v>建议作为附加参考</x:v>
      </x:c>
      <x:c r="D8" s="111" t="str">
        <x:v>需要Python/artifact_tool或其他表格能力</x:v>
      </x:c>
      <x:c r="E8" s="111" t="str">
        <x:v>筛选、颜色、人工检查方便</x:v>
      </x:c>
      <x:c r="F8" s="111" t="str">
        <x:v>模型不能像文本一样直接grep；解析成本更高</x:v>
      </x:c>
      <x:c r="G8" s="112" t="str">
        <x:v>不要只放Excel，Excel与TSV/TXT同时保留。</x:v>
      </x:c>
    </x:row>
  </x:sheetData>
  <x:mergeCells>
    <x:mergeCell ref="A1:G1"/>
    <x:mergeCell ref="A2:G2"/>
  </x:mergeCells>
  <x:pageMargins left="0.7" right="0.7" top="0.75" bottom="0.75" header="0.3" footer="0.3"/>
</x:worksheet>
</file>